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d8e93b7373836/桌面/程式作業/"/>
    </mc:Choice>
  </mc:AlternateContent>
  <xr:revisionPtr revIDLastSave="253" documentId="8_{26777836-B2D9-4CD0-A1C6-AE003F87C796}" xr6:coauthVersionLast="47" xr6:coauthVersionMax="47" xr10:uidLastSave="{0B080D7D-3B75-4A22-8E49-79BFD0218F42}"/>
  <bookViews>
    <workbookView xWindow="-108" yWindow="-108" windowWidth="23256" windowHeight="12456" xr2:uid="{00000000-000D-0000-FFFF-FFFF00000000}"/>
  </bookViews>
  <sheets>
    <sheet name="CWB_25N_100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4" i="1"/>
  <c r="K5" i="1" s="1"/>
  <c r="K6" i="1" s="1"/>
  <c r="K7" i="1" s="1"/>
  <c r="K8" i="1" s="1"/>
  <c r="K9" i="1" s="1"/>
  <c r="K10" i="1" s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12" i="1"/>
  <c r="H32" i="1"/>
  <c r="H43" i="1"/>
  <c r="H80" i="1"/>
  <c r="H96" i="1"/>
  <c r="H107" i="1"/>
  <c r="H144" i="1"/>
  <c r="H160" i="1"/>
  <c r="H171" i="1"/>
  <c r="H208" i="1"/>
  <c r="H224" i="1"/>
  <c r="H235" i="1"/>
  <c r="H272" i="1"/>
  <c r="H288" i="1"/>
  <c r="H299" i="1"/>
  <c r="H336" i="1"/>
  <c r="H35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H31" i="1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H78" i="1" s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H95" i="1" s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H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H159" i="1" s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H206" i="1" s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H223" i="1" s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H270" i="1" s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H287" i="1" s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H334" i="1" s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H351" i="1" s="1"/>
  <c r="F352" i="1"/>
  <c r="F353" i="1"/>
  <c r="F354" i="1"/>
  <c r="F355" i="1"/>
  <c r="F356" i="1"/>
  <c r="F357" i="1"/>
  <c r="F358" i="1"/>
  <c r="F359" i="1"/>
  <c r="F2" i="1"/>
  <c r="D3" i="1"/>
  <c r="D4" i="1"/>
  <c r="H4" i="1" s="1"/>
  <c r="D5" i="1"/>
  <c r="H5" i="1" s="1"/>
  <c r="D6" i="1"/>
  <c r="H6" i="1" s="1"/>
  <c r="D7" i="1"/>
  <c r="D8" i="1"/>
  <c r="D9" i="1"/>
  <c r="D10" i="1"/>
  <c r="D11" i="1"/>
  <c r="H11" i="1" s="1"/>
  <c r="D12" i="1"/>
  <c r="H12" i="1" s="1"/>
  <c r="D13" i="1"/>
  <c r="H13" i="1" s="1"/>
  <c r="D14" i="1"/>
  <c r="D15" i="1"/>
  <c r="D16" i="1"/>
  <c r="D17" i="1"/>
  <c r="D18" i="1"/>
  <c r="D19" i="1"/>
  <c r="D20" i="1"/>
  <c r="H20" i="1" s="1"/>
  <c r="D21" i="1"/>
  <c r="H21" i="1" s="1"/>
  <c r="D22" i="1"/>
  <c r="H22" i="1" s="1"/>
  <c r="D23" i="1"/>
  <c r="D24" i="1"/>
  <c r="D25" i="1"/>
  <c r="D26" i="1"/>
  <c r="D27" i="1"/>
  <c r="H27" i="1" s="1"/>
  <c r="D28" i="1"/>
  <c r="H28" i="1" s="1"/>
  <c r="D29" i="1"/>
  <c r="H29" i="1" s="1"/>
  <c r="D30" i="1"/>
  <c r="H30" i="1" s="1"/>
  <c r="D31" i="1"/>
  <c r="D32" i="1"/>
  <c r="D33" i="1"/>
  <c r="D34" i="1"/>
  <c r="D35" i="1"/>
  <c r="D36" i="1"/>
  <c r="H36" i="1" s="1"/>
  <c r="D37" i="1"/>
  <c r="H37" i="1" s="1"/>
  <c r="D38" i="1"/>
  <c r="H38" i="1" s="1"/>
  <c r="D39" i="1"/>
  <c r="D40" i="1"/>
  <c r="D41" i="1"/>
  <c r="D42" i="1"/>
  <c r="D43" i="1"/>
  <c r="D44" i="1"/>
  <c r="H44" i="1" s="1"/>
  <c r="D45" i="1"/>
  <c r="H45" i="1" s="1"/>
  <c r="D46" i="1"/>
  <c r="H46" i="1" s="1"/>
  <c r="D47" i="1"/>
  <c r="H47" i="1" s="1"/>
  <c r="D48" i="1"/>
  <c r="H48" i="1" s="1"/>
  <c r="D49" i="1"/>
  <c r="D50" i="1"/>
  <c r="D51" i="1"/>
  <c r="D52" i="1"/>
  <c r="H52" i="1" s="1"/>
  <c r="D53" i="1"/>
  <c r="H53" i="1" s="1"/>
  <c r="D54" i="1"/>
  <c r="H54" i="1" s="1"/>
  <c r="D55" i="1"/>
  <c r="D56" i="1"/>
  <c r="D57" i="1"/>
  <c r="D58" i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D66" i="1"/>
  <c r="D67" i="1"/>
  <c r="D68" i="1"/>
  <c r="H68" i="1" s="1"/>
  <c r="D69" i="1"/>
  <c r="H69" i="1" s="1"/>
  <c r="D70" i="1"/>
  <c r="H70" i="1" s="1"/>
  <c r="D71" i="1"/>
  <c r="D72" i="1"/>
  <c r="D73" i="1"/>
  <c r="D74" i="1"/>
  <c r="D75" i="1"/>
  <c r="H75" i="1" s="1"/>
  <c r="D76" i="1"/>
  <c r="H76" i="1" s="1"/>
  <c r="D77" i="1"/>
  <c r="H77" i="1" s="1"/>
  <c r="D78" i="1"/>
  <c r="D79" i="1"/>
  <c r="H79" i="1" s="1"/>
  <c r="D80" i="1"/>
  <c r="D81" i="1"/>
  <c r="D82" i="1"/>
  <c r="D83" i="1"/>
  <c r="D84" i="1"/>
  <c r="H84" i="1" s="1"/>
  <c r="D85" i="1"/>
  <c r="H85" i="1" s="1"/>
  <c r="D86" i="1"/>
  <c r="H86" i="1" s="1"/>
  <c r="D87" i="1"/>
  <c r="D88" i="1"/>
  <c r="D89" i="1"/>
  <c r="D90" i="1"/>
  <c r="D91" i="1"/>
  <c r="H91" i="1" s="1"/>
  <c r="D92" i="1"/>
  <c r="H92" i="1" s="1"/>
  <c r="D93" i="1"/>
  <c r="H93" i="1" s="1"/>
  <c r="D94" i="1"/>
  <c r="H94" i="1" s="1"/>
  <c r="D95" i="1"/>
  <c r="D96" i="1"/>
  <c r="D97" i="1"/>
  <c r="D98" i="1"/>
  <c r="D99" i="1"/>
  <c r="D100" i="1"/>
  <c r="H100" i="1" s="1"/>
  <c r="D101" i="1"/>
  <c r="H101" i="1" s="1"/>
  <c r="D102" i="1"/>
  <c r="H102" i="1" s="1"/>
  <c r="D103" i="1"/>
  <c r="D104" i="1"/>
  <c r="D105" i="1"/>
  <c r="D106" i="1"/>
  <c r="D107" i="1"/>
  <c r="D108" i="1"/>
  <c r="H108" i="1" s="1"/>
  <c r="D109" i="1"/>
  <c r="H109" i="1" s="1"/>
  <c r="D110" i="1"/>
  <c r="H110" i="1" s="1"/>
  <c r="D111" i="1"/>
  <c r="H111" i="1" s="1"/>
  <c r="D112" i="1"/>
  <c r="H112" i="1" s="1"/>
  <c r="D113" i="1"/>
  <c r="D114" i="1"/>
  <c r="D115" i="1"/>
  <c r="D116" i="1"/>
  <c r="H116" i="1" s="1"/>
  <c r="D117" i="1"/>
  <c r="H117" i="1" s="1"/>
  <c r="D118" i="1"/>
  <c r="H118" i="1" s="1"/>
  <c r="D119" i="1"/>
  <c r="D120" i="1"/>
  <c r="D121" i="1"/>
  <c r="D122" i="1"/>
  <c r="D123" i="1"/>
  <c r="H123" i="1" s="1"/>
  <c r="D124" i="1"/>
  <c r="H124" i="1" s="1"/>
  <c r="D125" i="1"/>
  <c r="H125" i="1" s="1"/>
  <c r="D126" i="1"/>
  <c r="H126" i="1" s="1"/>
  <c r="D127" i="1"/>
  <c r="H127" i="1" s="1"/>
  <c r="D128" i="1"/>
  <c r="H128" i="1" s="1"/>
  <c r="D129" i="1"/>
  <c r="D130" i="1"/>
  <c r="D131" i="1"/>
  <c r="D132" i="1"/>
  <c r="H132" i="1" s="1"/>
  <c r="D133" i="1"/>
  <c r="H133" i="1" s="1"/>
  <c r="D134" i="1"/>
  <c r="H134" i="1" s="1"/>
  <c r="D135" i="1"/>
  <c r="D136" i="1"/>
  <c r="D137" i="1"/>
  <c r="D138" i="1"/>
  <c r="D139" i="1"/>
  <c r="H139" i="1" s="1"/>
  <c r="D140" i="1"/>
  <c r="H140" i="1" s="1"/>
  <c r="D141" i="1"/>
  <c r="H141" i="1" s="1"/>
  <c r="D142" i="1"/>
  <c r="D143" i="1"/>
  <c r="H143" i="1" s="1"/>
  <c r="D144" i="1"/>
  <c r="D145" i="1"/>
  <c r="D146" i="1"/>
  <c r="D147" i="1"/>
  <c r="D148" i="1"/>
  <c r="H148" i="1" s="1"/>
  <c r="D149" i="1"/>
  <c r="H149" i="1" s="1"/>
  <c r="D150" i="1"/>
  <c r="H150" i="1" s="1"/>
  <c r="D151" i="1"/>
  <c r="D152" i="1"/>
  <c r="D153" i="1"/>
  <c r="D154" i="1"/>
  <c r="D155" i="1"/>
  <c r="H155" i="1" s="1"/>
  <c r="D156" i="1"/>
  <c r="H156" i="1" s="1"/>
  <c r="D157" i="1"/>
  <c r="H157" i="1" s="1"/>
  <c r="D158" i="1"/>
  <c r="H158" i="1" s="1"/>
  <c r="D159" i="1"/>
  <c r="D160" i="1"/>
  <c r="D161" i="1"/>
  <c r="D162" i="1"/>
  <c r="D163" i="1"/>
  <c r="D164" i="1"/>
  <c r="H164" i="1" s="1"/>
  <c r="D165" i="1"/>
  <c r="H165" i="1" s="1"/>
  <c r="D166" i="1"/>
  <c r="H166" i="1" s="1"/>
  <c r="D167" i="1"/>
  <c r="D168" i="1"/>
  <c r="D169" i="1"/>
  <c r="D170" i="1"/>
  <c r="D171" i="1"/>
  <c r="D172" i="1"/>
  <c r="H172" i="1" s="1"/>
  <c r="D173" i="1"/>
  <c r="H173" i="1" s="1"/>
  <c r="D174" i="1"/>
  <c r="H174" i="1" s="1"/>
  <c r="D175" i="1"/>
  <c r="H175" i="1" s="1"/>
  <c r="D176" i="1"/>
  <c r="H176" i="1" s="1"/>
  <c r="D177" i="1"/>
  <c r="D178" i="1"/>
  <c r="D179" i="1"/>
  <c r="D180" i="1"/>
  <c r="H180" i="1" s="1"/>
  <c r="D181" i="1"/>
  <c r="H181" i="1" s="1"/>
  <c r="D182" i="1"/>
  <c r="H182" i="1" s="1"/>
  <c r="D183" i="1"/>
  <c r="D184" i="1"/>
  <c r="D185" i="1"/>
  <c r="D186" i="1"/>
  <c r="D187" i="1"/>
  <c r="H187" i="1" s="1"/>
  <c r="D188" i="1"/>
  <c r="H188" i="1" s="1"/>
  <c r="D189" i="1"/>
  <c r="H189" i="1" s="1"/>
  <c r="D190" i="1"/>
  <c r="H190" i="1" s="1"/>
  <c r="D191" i="1"/>
  <c r="H191" i="1" s="1"/>
  <c r="D192" i="1"/>
  <c r="H192" i="1" s="1"/>
  <c r="D193" i="1"/>
  <c r="D194" i="1"/>
  <c r="D195" i="1"/>
  <c r="D196" i="1"/>
  <c r="H196" i="1" s="1"/>
  <c r="D197" i="1"/>
  <c r="H197" i="1" s="1"/>
  <c r="D198" i="1"/>
  <c r="H198" i="1" s="1"/>
  <c r="D199" i="1"/>
  <c r="D200" i="1"/>
  <c r="D201" i="1"/>
  <c r="D202" i="1"/>
  <c r="D203" i="1"/>
  <c r="H203" i="1" s="1"/>
  <c r="D204" i="1"/>
  <c r="H204" i="1" s="1"/>
  <c r="D205" i="1"/>
  <c r="H205" i="1" s="1"/>
  <c r="D206" i="1"/>
  <c r="D207" i="1"/>
  <c r="H207" i="1" s="1"/>
  <c r="D208" i="1"/>
  <c r="D209" i="1"/>
  <c r="D210" i="1"/>
  <c r="D211" i="1"/>
  <c r="D212" i="1"/>
  <c r="H212" i="1" s="1"/>
  <c r="D213" i="1"/>
  <c r="H213" i="1" s="1"/>
  <c r="D214" i="1"/>
  <c r="H214" i="1" s="1"/>
  <c r="D215" i="1"/>
  <c r="D216" i="1"/>
  <c r="D217" i="1"/>
  <c r="D218" i="1"/>
  <c r="D219" i="1"/>
  <c r="H219" i="1" s="1"/>
  <c r="D220" i="1"/>
  <c r="H220" i="1" s="1"/>
  <c r="D221" i="1"/>
  <c r="H221" i="1" s="1"/>
  <c r="D222" i="1"/>
  <c r="H222" i="1" s="1"/>
  <c r="D223" i="1"/>
  <c r="D224" i="1"/>
  <c r="D225" i="1"/>
  <c r="D226" i="1"/>
  <c r="D227" i="1"/>
  <c r="D228" i="1"/>
  <c r="H228" i="1" s="1"/>
  <c r="D229" i="1"/>
  <c r="H229" i="1" s="1"/>
  <c r="D230" i="1"/>
  <c r="H230" i="1" s="1"/>
  <c r="D231" i="1"/>
  <c r="D232" i="1"/>
  <c r="D233" i="1"/>
  <c r="D234" i="1"/>
  <c r="D235" i="1"/>
  <c r="D236" i="1"/>
  <c r="H236" i="1" s="1"/>
  <c r="D237" i="1"/>
  <c r="H237" i="1" s="1"/>
  <c r="D238" i="1"/>
  <c r="H238" i="1" s="1"/>
  <c r="D239" i="1"/>
  <c r="H239" i="1" s="1"/>
  <c r="D240" i="1"/>
  <c r="H240" i="1" s="1"/>
  <c r="D241" i="1"/>
  <c r="D242" i="1"/>
  <c r="D243" i="1"/>
  <c r="D244" i="1"/>
  <c r="H244" i="1" s="1"/>
  <c r="D245" i="1"/>
  <c r="H245" i="1" s="1"/>
  <c r="D246" i="1"/>
  <c r="H246" i="1" s="1"/>
  <c r="D247" i="1"/>
  <c r="D248" i="1"/>
  <c r="D249" i="1"/>
  <c r="D250" i="1"/>
  <c r="D251" i="1"/>
  <c r="H251" i="1" s="1"/>
  <c r="D252" i="1"/>
  <c r="H252" i="1" s="1"/>
  <c r="D253" i="1"/>
  <c r="H253" i="1" s="1"/>
  <c r="D254" i="1"/>
  <c r="H254" i="1" s="1"/>
  <c r="D255" i="1"/>
  <c r="H255" i="1" s="1"/>
  <c r="D256" i="1"/>
  <c r="H256" i="1" s="1"/>
  <c r="D257" i="1"/>
  <c r="D258" i="1"/>
  <c r="D259" i="1"/>
  <c r="D260" i="1"/>
  <c r="H260" i="1" s="1"/>
  <c r="D261" i="1"/>
  <c r="H261" i="1" s="1"/>
  <c r="D262" i="1"/>
  <c r="H262" i="1" s="1"/>
  <c r="D263" i="1"/>
  <c r="D264" i="1"/>
  <c r="D265" i="1"/>
  <c r="D266" i="1"/>
  <c r="D267" i="1"/>
  <c r="H267" i="1" s="1"/>
  <c r="D268" i="1"/>
  <c r="H268" i="1" s="1"/>
  <c r="D269" i="1"/>
  <c r="H269" i="1" s="1"/>
  <c r="D270" i="1"/>
  <c r="D271" i="1"/>
  <c r="H271" i="1" s="1"/>
  <c r="D272" i="1"/>
  <c r="D273" i="1"/>
  <c r="D274" i="1"/>
  <c r="D275" i="1"/>
  <c r="D276" i="1"/>
  <c r="H276" i="1" s="1"/>
  <c r="D277" i="1"/>
  <c r="H277" i="1" s="1"/>
  <c r="D278" i="1"/>
  <c r="H278" i="1" s="1"/>
  <c r="D279" i="1"/>
  <c r="D280" i="1"/>
  <c r="D281" i="1"/>
  <c r="D282" i="1"/>
  <c r="D283" i="1"/>
  <c r="H283" i="1" s="1"/>
  <c r="D284" i="1"/>
  <c r="H284" i="1" s="1"/>
  <c r="D285" i="1"/>
  <c r="H285" i="1" s="1"/>
  <c r="D286" i="1"/>
  <c r="H286" i="1" s="1"/>
  <c r="D287" i="1"/>
  <c r="D288" i="1"/>
  <c r="D289" i="1"/>
  <c r="D290" i="1"/>
  <c r="D291" i="1"/>
  <c r="D292" i="1"/>
  <c r="H292" i="1" s="1"/>
  <c r="D293" i="1"/>
  <c r="H293" i="1" s="1"/>
  <c r="D294" i="1"/>
  <c r="H294" i="1" s="1"/>
  <c r="D295" i="1"/>
  <c r="D296" i="1"/>
  <c r="D297" i="1"/>
  <c r="D298" i="1"/>
  <c r="D299" i="1"/>
  <c r="D300" i="1"/>
  <c r="H300" i="1" s="1"/>
  <c r="D301" i="1"/>
  <c r="H301" i="1" s="1"/>
  <c r="D302" i="1"/>
  <c r="H302" i="1" s="1"/>
  <c r="D303" i="1"/>
  <c r="H303" i="1" s="1"/>
  <c r="D304" i="1"/>
  <c r="H304" i="1" s="1"/>
  <c r="D305" i="1"/>
  <c r="D306" i="1"/>
  <c r="D307" i="1"/>
  <c r="D308" i="1"/>
  <c r="H308" i="1" s="1"/>
  <c r="D309" i="1"/>
  <c r="H309" i="1" s="1"/>
  <c r="D310" i="1"/>
  <c r="H310" i="1" s="1"/>
  <c r="D311" i="1"/>
  <c r="D312" i="1"/>
  <c r="D313" i="1"/>
  <c r="D314" i="1"/>
  <c r="D315" i="1"/>
  <c r="H315" i="1" s="1"/>
  <c r="D316" i="1"/>
  <c r="H316" i="1" s="1"/>
  <c r="D317" i="1"/>
  <c r="H317" i="1" s="1"/>
  <c r="D318" i="1"/>
  <c r="H318" i="1" s="1"/>
  <c r="D319" i="1"/>
  <c r="H319" i="1" s="1"/>
  <c r="D320" i="1"/>
  <c r="H320" i="1" s="1"/>
  <c r="D321" i="1"/>
  <c r="D322" i="1"/>
  <c r="D323" i="1"/>
  <c r="D324" i="1"/>
  <c r="H324" i="1" s="1"/>
  <c r="D325" i="1"/>
  <c r="H325" i="1" s="1"/>
  <c r="D326" i="1"/>
  <c r="H326" i="1" s="1"/>
  <c r="D327" i="1"/>
  <c r="D328" i="1"/>
  <c r="D329" i="1"/>
  <c r="D330" i="1"/>
  <c r="D331" i="1"/>
  <c r="H331" i="1" s="1"/>
  <c r="D332" i="1"/>
  <c r="H332" i="1" s="1"/>
  <c r="D333" i="1"/>
  <c r="H333" i="1" s="1"/>
  <c r="D334" i="1"/>
  <c r="D335" i="1"/>
  <c r="H335" i="1" s="1"/>
  <c r="D336" i="1"/>
  <c r="D337" i="1"/>
  <c r="D338" i="1"/>
  <c r="D339" i="1"/>
  <c r="D340" i="1"/>
  <c r="H340" i="1" s="1"/>
  <c r="D341" i="1"/>
  <c r="H341" i="1" s="1"/>
  <c r="D342" i="1"/>
  <c r="H342" i="1" s="1"/>
  <c r="D343" i="1"/>
  <c r="D344" i="1"/>
  <c r="D345" i="1"/>
  <c r="D346" i="1"/>
  <c r="D347" i="1"/>
  <c r="H347" i="1" s="1"/>
  <c r="D348" i="1"/>
  <c r="H348" i="1" s="1"/>
  <c r="D349" i="1"/>
  <c r="H349" i="1" s="1"/>
  <c r="D350" i="1"/>
  <c r="H350" i="1" s="1"/>
  <c r="D351" i="1"/>
  <c r="D352" i="1"/>
  <c r="D353" i="1"/>
  <c r="D354" i="1"/>
  <c r="D355" i="1"/>
  <c r="D356" i="1"/>
  <c r="H356" i="1" s="1"/>
  <c r="D357" i="1"/>
  <c r="H357" i="1" s="1"/>
  <c r="D358" i="1"/>
  <c r="H358" i="1" s="1"/>
  <c r="D359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2" i="1"/>
  <c r="H354" i="1" l="1"/>
  <c r="H338" i="1"/>
  <c r="H322" i="1"/>
  <c r="H306" i="1"/>
  <c r="H290" i="1"/>
  <c r="H210" i="1"/>
  <c r="H194" i="1"/>
  <c r="H178" i="1"/>
  <c r="H162" i="1"/>
  <c r="H146" i="1"/>
  <c r="H130" i="1"/>
  <c r="H114" i="1"/>
  <c r="H98" i="1"/>
  <c r="H82" i="1"/>
  <c r="H66" i="1"/>
  <c r="H50" i="1"/>
  <c r="H34" i="1"/>
  <c r="H18" i="1"/>
  <c r="H2" i="1"/>
  <c r="H344" i="1"/>
  <c r="H328" i="1"/>
  <c r="H312" i="1"/>
  <c r="H296" i="1"/>
  <c r="H280" i="1"/>
  <c r="H264" i="1"/>
  <c r="H248" i="1"/>
  <c r="H232" i="1"/>
  <c r="H216" i="1"/>
  <c r="H200" i="1"/>
  <c r="H184" i="1"/>
  <c r="H168" i="1"/>
  <c r="H152" i="1"/>
  <c r="H136" i="1"/>
  <c r="H120" i="1"/>
  <c r="H104" i="1"/>
  <c r="H88" i="1"/>
  <c r="H72" i="1"/>
  <c r="H56" i="1"/>
  <c r="H40" i="1"/>
  <c r="H24" i="1"/>
  <c r="H8" i="1"/>
  <c r="H226" i="1"/>
  <c r="H353" i="1"/>
  <c r="H337" i="1"/>
  <c r="H321" i="1"/>
  <c r="H305" i="1"/>
  <c r="H289" i="1"/>
  <c r="H273" i="1"/>
  <c r="H257" i="1"/>
  <c r="H241" i="1"/>
  <c r="H225" i="1"/>
  <c r="H209" i="1"/>
  <c r="H193" i="1"/>
  <c r="H177" i="1"/>
  <c r="H161" i="1"/>
  <c r="H145" i="1"/>
  <c r="H129" i="1"/>
  <c r="H113" i="1"/>
  <c r="H97" i="1"/>
  <c r="H81" i="1"/>
  <c r="H65" i="1"/>
  <c r="H49" i="1"/>
  <c r="H33" i="1"/>
  <c r="H17" i="1"/>
  <c r="H359" i="1"/>
  <c r="H343" i="1"/>
  <c r="H327" i="1"/>
  <c r="H311" i="1"/>
  <c r="H295" i="1"/>
  <c r="H279" i="1"/>
  <c r="H263" i="1"/>
  <c r="H247" i="1"/>
  <c r="H231" i="1"/>
  <c r="H215" i="1"/>
  <c r="H199" i="1"/>
  <c r="H183" i="1"/>
  <c r="H167" i="1"/>
  <c r="H151" i="1"/>
  <c r="H135" i="1"/>
  <c r="H119" i="1"/>
  <c r="H103" i="1"/>
  <c r="H87" i="1"/>
  <c r="H71" i="1"/>
  <c r="H55" i="1"/>
  <c r="H39" i="1"/>
  <c r="H23" i="1"/>
  <c r="H7" i="1"/>
  <c r="H242" i="1"/>
  <c r="H16" i="1"/>
  <c r="H258" i="1"/>
  <c r="H15" i="1"/>
  <c r="H274" i="1"/>
  <c r="H14" i="1"/>
  <c r="H346" i="1"/>
  <c r="H330" i="1"/>
  <c r="H314" i="1"/>
  <c r="H298" i="1"/>
  <c r="H282" i="1"/>
  <c r="H266" i="1"/>
  <c r="H250" i="1"/>
  <c r="H234" i="1"/>
  <c r="H218" i="1"/>
  <c r="H202" i="1"/>
  <c r="H186" i="1"/>
  <c r="H170" i="1"/>
  <c r="H154" i="1"/>
  <c r="H138" i="1"/>
  <c r="H122" i="1"/>
  <c r="H106" i="1"/>
  <c r="H90" i="1"/>
  <c r="H74" i="1"/>
  <c r="H58" i="1"/>
  <c r="H42" i="1"/>
  <c r="H26" i="1"/>
  <c r="H10" i="1"/>
  <c r="H355" i="1"/>
  <c r="H339" i="1"/>
  <c r="H323" i="1"/>
  <c r="H307" i="1"/>
  <c r="H291" i="1"/>
  <c r="H275" i="1"/>
  <c r="H259" i="1"/>
  <c r="H243" i="1"/>
  <c r="H227" i="1"/>
  <c r="H211" i="1"/>
  <c r="H195" i="1"/>
  <c r="H179" i="1"/>
  <c r="H163" i="1"/>
  <c r="H147" i="1"/>
  <c r="H131" i="1"/>
  <c r="H115" i="1"/>
  <c r="H99" i="1"/>
  <c r="H83" i="1"/>
  <c r="H67" i="1"/>
  <c r="H51" i="1"/>
  <c r="H35" i="1"/>
  <c r="H19" i="1"/>
  <c r="H3" i="1"/>
  <c r="I2" i="1" s="1"/>
  <c r="H345" i="1"/>
  <c r="H329" i="1"/>
  <c r="H313" i="1"/>
  <c r="H297" i="1"/>
  <c r="H281" i="1"/>
  <c r="H265" i="1"/>
  <c r="H249" i="1"/>
  <c r="H233" i="1"/>
  <c r="H217" i="1"/>
  <c r="H201" i="1"/>
  <c r="H185" i="1"/>
  <c r="H169" i="1"/>
  <c r="H153" i="1"/>
  <c r="H137" i="1"/>
  <c r="H121" i="1"/>
  <c r="H105" i="1"/>
  <c r="H89" i="1"/>
  <c r="H73" i="1"/>
  <c r="H57" i="1"/>
  <c r="H41" i="1"/>
  <c r="H25" i="1"/>
  <c r="H9" i="1"/>
  <c r="O4" i="1"/>
  <c r="O5" i="1" s="1"/>
  <c r="O6" i="1" s="1"/>
  <c r="O7" i="1" s="1"/>
  <c r="O8" i="1" s="1"/>
  <c r="O9" i="1" s="1"/>
  <c r="O10" i="1" s="1"/>
</calcChain>
</file>

<file path=xl/sharedStrings.xml><?xml version="1.0" encoding="utf-8"?>
<sst xmlns="http://schemas.openxmlformats.org/spreadsheetml/2006/main" count="11" uniqueCount="8">
  <si>
    <t>GPHeight</t>
  </si>
  <si>
    <t>Pressure</t>
  </si>
  <si>
    <t>O3PartialPressure</t>
  </si>
  <si>
    <t>Temperature</t>
  </si>
  <si>
    <t>hh</t>
    <phoneticPr fontId="18" type="noConversion"/>
  </si>
  <si>
    <t>台南</t>
    <phoneticPr fontId="18" type="noConversion"/>
  </si>
  <si>
    <t>台北</t>
    <phoneticPr fontId="18" type="noConversion"/>
  </si>
  <si>
    <t>成功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</si>
</sst>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最大風比較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CWB_25N_100m!$P$2</c:f>
              <c:strCache>
                <c:ptCount val="1"/>
                <c:pt idx="0">
                  <c:v>台南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CWB_25N_100m!$O$3:$O$28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CWB_25N_100m!$P$3:$P$28</c:f>
              <c:numCache>
                <c:formatCode>General</c:formatCode>
                <c:ptCount val="26"/>
                <c:pt idx="0">
                  <c:v>7.8</c:v>
                </c:pt>
                <c:pt idx="1">
                  <c:v>9.1999999999999993</c:v>
                </c:pt>
                <c:pt idx="2">
                  <c:v>9.4</c:v>
                </c:pt>
                <c:pt idx="3">
                  <c:v>9.1</c:v>
                </c:pt>
                <c:pt idx="4">
                  <c:v>7.9</c:v>
                </c:pt>
                <c:pt idx="5">
                  <c:v>8.1999999999999993</c:v>
                </c:pt>
                <c:pt idx="6">
                  <c:v>7.8</c:v>
                </c:pt>
                <c:pt idx="7">
                  <c:v>7.3</c:v>
                </c:pt>
                <c:pt idx="8">
                  <c:v>7</c:v>
                </c:pt>
                <c:pt idx="9">
                  <c:v>5.5</c:v>
                </c:pt>
                <c:pt idx="10">
                  <c:v>8.1</c:v>
                </c:pt>
                <c:pt idx="11">
                  <c:v>9.9</c:v>
                </c:pt>
                <c:pt idx="12">
                  <c:v>9.6999999999999993</c:v>
                </c:pt>
                <c:pt idx="13">
                  <c:v>10.8</c:v>
                </c:pt>
                <c:pt idx="14">
                  <c:v>12.5</c:v>
                </c:pt>
                <c:pt idx="15">
                  <c:v>9.4</c:v>
                </c:pt>
                <c:pt idx="16">
                  <c:v>6.9</c:v>
                </c:pt>
                <c:pt idx="17">
                  <c:v>8.1</c:v>
                </c:pt>
                <c:pt idx="18">
                  <c:v>8.3000000000000007</c:v>
                </c:pt>
                <c:pt idx="19">
                  <c:v>9.3000000000000007</c:v>
                </c:pt>
                <c:pt idx="20">
                  <c:v>8.6</c:v>
                </c:pt>
                <c:pt idx="21">
                  <c:v>9.1</c:v>
                </c:pt>
                <c:pt idx="22">
                  <c:v>9</c:v>
                </c:pt>
                <c:pt idx="23">
                  <c:v>8.6</c:v>
                </c:pt>
                <c:pt idx="24">
                  <c:v>8.6999999999999993</c:v>
                </c:pt>
                <c:pt idx="25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8-4668-87EA-FB32D9097884}"/>
            </c:ext>
          </c:extLst>
        </c:ser>
        <c:ser>
          <c:idx val="1"/>
          <c:order val="1"/>
          <c:tx>
            <c:strRef>
              <c:f>CWB_25N_100m!$Q$2</c:f>
              <c:strCache>
                <c:ptCount val="1"/>
                <c:pt idx="0">
                  <c:v>台北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CWB_25N_100m!$O$3:$O$28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CWB_25N_100m!$Q$3:$Q$28</c:f>
              <c:numCache>
                <c:formatCode>General</c:formatCode>
                <c:ptCount val="26"/>
                <c:pt idx="0">
                  <c:v>7.4</c:v>
                </c:pt>
                <c:pt idx="1">
                  <c:v>5.7</c:v>
                </c:pt>
                <c:pt idx="2">
                  <c:v>5.4</c:v>
                </c:pt>
                <c:pt idx="3">
                  <c:v>5.9</c:v>
                </c:pt>
                <c:pt idx="4">
                  <c:v>5.4</c:v>
                </c:pt>
                <c:pt idx="5">
                  <c:v>5.8</c:v>
                </c:pt>
                <c:pt idx="6">
                  <c:v>4.8</c:v>
                </c:pt>
                <c:pt idx="7">
                  <c:v>5.2</c:v>
                </c:pt>
                <c:pt idx="8">
                  <c:v>5.5</c:v>
                </c:pt>
                <c:pt idx="9">
                  <c:v>4.8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5.5</c:v>
                </c:pt>
                <c:pt idx="14">
                  <c:v>6</c:v>
                </c:pt>
                <c:pt idx="15">
                  <c:v>6.4</c:v>
                </c:pt>
                <c:pt idx="16">
                  <c:v>6.1</c:v>
                </c:pt>
                <c:pt idx="17">
                  <c:v>5.4</c:v>
                </c:pt>
                <c:pt idx="18">
                  <c:v>6.8</c:v>
                </c:pt>
                <c:pt idx="19">
                  <c:v>5.7</c:v>
                </c:pt>
                <c:pt idx="20">
                  <c:v>5.6</c:v>
                </c:pt>
                <c:pt idx="21">
                  <c:v>5.3</c:v>
                </c:pt>
                <c:pt idx="22">
                  <c:v>4.9000000000000004</c:v>
                </c:pt>
                <c:pt idx="23">
                  <c:v>6.5</c:v>
                </c:pt>
                <c:pt idx="24">
                  <c:v>5.8</c:v>
                </c:pt>
                <c:pt idx="2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8-4668-87EA-FB32D9097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563920"/>
        <c:axId val="831564640"/>
      </c:lineChart>
      <c:catAx>
        <c:axId val="8315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1564640"/>
        <c:crosses val="autoZero"/>
        <c:auto val="1"/>
        <c:lblAlgn val="ctr"/>
        <c:lblOffset val="100"/>
        <c:noMultiLvlLbl val="0"/>
      </c:catAx>
      <c:valAx>
        <c:axId val="8315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15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瞬時最大風比較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CWB_25N_100m!$L$2</c:f>
              <c:strCache>
                <c:ptCount val="1"/>
                <c:pt idx="0">
                  <c:v>台南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CWB_25N_100m!$K$3:$K$28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CWB_25N_100m!$L$3:$L$28</c:f>
              <c:numCache>
                <c:formatCode>General</c:formatCode>
                <c:ptCount val="26"/>
                <c:pt idx="0">
                  <c:v>14.9</c:v>
                </c:pt>
                <c:pt idx="1">
                  <c:v>17.399999999999999</c:v>
                </c:pt>
                <c:pt idx="2">
                  <c:v>17.100000000000001</c:v>
                </c:pt>
                <c:pt idx="3">
                  <c:v>19.399999999999999</c:v>
                </c:pt>
                <c:pt idx="4">
                  <c:v>17.100000000000001</c:v>
                </c:pt>
                <c:pt idx="5">
                  <c:v>15.8</c:v>
                </c:pt>
                <c:pt idx="6">
                  <c:v>14.6</c:v>
                </c:pt>
                <c:pt idx="7">
                  <c:v>15.9</c:v>
                </c:pt>
                <c:pt idx="8">
                  <c:v>13.3</c:v>
                </c:pt>
                <c:pt idx="9">
                  <c:v>11.7</c:v>
                </c:pt>
                <c:pt idx="10">
                  <c:v>14.1</c:v>
                </c:pt>
                <c:pt idx="11">
                  <c:v>19.3</c:v>
                </c:pt>
                <c:pt idx="12">
                  <c:v>18.100000000000001</c:v>
                </c:pt>
                <c:pt idx="13">
                  <c:v>18.100000000000001</c:v>
                </c:pt>
                <c:pt idx="14">
                  <c:v>21.8</c:v>
                </c:pt>
                <c:pt idx="15">
                  <c:v>21.5</c:v>
                </c:pt>
                <c:pt idx="16">
                  <c:v>14.6</c:v>
                </c:pt>
                <c:pt idx="17">
                  <c:v>12.3</c:v>
                </c:pt>
                <c:pt idx="18">
                  <c:v>13.8</c:v>
                </c:pt>
                <c:pt idx="19">
                  <c:v>15.2</c:v>
                </c:pt>
                <c:pt idx="20">
                  <c:v>15.1</c:v>
                </c:pt>
                <c:pt idx="21">
                  <c:v>14.7</c:v>
                </c:pt>
                <c:pt idx="22">
                  <c:v>15.7</c:v>
                </c:pt>
                <c:pt idx="23">
                  <c:v>15.4</c:v>
                </c:pt>
                <c:pt idx="24">
                  <c:v>14.5</c:v>
                </c:pt>
                <c:pt idx="25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A-4447-94F7-843A11C92532}"/>
            </c:ext>
          </c:extLst>
        </c:ser>
        <c:ser>
          <c:idx val="1"/>
          <c:order val="1"/>
          <c:tx>
            <c:strRef>
              <c:f>CWB_25N_100m!$M$2</c:f>
              <c:strCache>
                <c:ptCount val="1"/>
                <c:pt idx="0">
                  <c:v>台北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CWB_25N_100m!$K$3:$K$28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CWB_25N_100m!$M$3:$M$28</c:f>
              <c:numCache>
                <c:formatCode>General</c:formatCode>
                <c:ptCount val="26"/>
                <c:pt idx="0">
                  <c:v>13.2</c:v>
                </c:pt>
                <c:pt idx="1">
                  <c:v>14</c:v>
                </c:pt>
                <c:pt idx="2">
                  <c:v>13.4</c:v>
                </c:pt>
                <c:pt idx="3">
                  <c:v>14.6</c:v>
                </c:pt>
                <c:pt idx="4">
                  <c:v>12.7</c:v>
                </c:pt>
                <c:pt idx="5">
                  <c:v>13.8</c:v>
                </c:pt>
                <c:pt idx="6">
                  <c:v>12.8</c:v>
                </c:pt>
                <c:pt idx="7">
                  <c:v>13</c:v>
                </c:pt>
                <c:pt idx="8">
                  <c:v>13.1</c:v>
                </c:pt>
                <c:pt idx="9">
                  <c:v>12.8</c:v>
                </c:pt>
                <c:pt idx="10">
                  <c:v>10.1</c:v>
                </c:pt>
                <c:pt idx="11">
                  <c:v>11.5</c:v>
                </c:pt>
                <c:pt idx="12">
                  <c:v>11.4</c:v>
                </c:pt>
                <c:pt idx="13">
                  <c:v>13.9</c:v>
                </c:pt>
                <c:pt idx="14">
                  <c:v>14.8</c:v>
                </c:pt>
                <c:pt idx="15">
                  <c:v>15.9</c:v>
                </c:pt>
                <c:pt idx="16">
                  <c:v>12</c:v>
                </c:pt>
                <c:pt idx="17">
                  <c:v>13.7</c:v>
                </c:pt>
                <c:pt idx="18">
                  <c:v>14.7</c:v>
                </c:pt>
                <c:pt idx="19">
                  <c:v>15.1</c:v>
                </c:pt>
                <c:pt idx="20">
                  <c:v>14.5</c:v>
                </c:pt>
                <c:pt idx="21">
                  <c:v>13.9</c:v>
                </c:pt>
                <c:pt idx="22">
                  <c:v>11.5</c:v>
                </c:pt>
                <c:pt idx="23">
                  <c:v>15</c:v>
                </c:pt>
                <c:pt idx="24">
                  <c:v>13.1</c:v>
                </c:pt>
                <c:pt idx="25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A-4447-94F7-843A11C9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626232"/>
        <c:axId val="634627312"/>
      </c:lineChart>
      <c:catAx>
        <c:axId val="63462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4627312"/>
        <c:crosses val="autoZero"/>
        <c:auto val="1"/>
        <c:lblAlgn val="ctr"/>
        <c:lblOffset val="100"/>
        <c:noMultiLvlLbl val="0"/>
      </c:catAx>
      <c:valAx>
        <c:axId val="634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462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瞬時最大風比較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CWB_25N_100m!$L$2</c:f>
              <c:strCache>
                <c:ptCount val="1"/>
                <c:pt idx="0">
                  <c:v>台南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CWB_25N_100m!$K$3:$K$28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CWB_25N_100m!$L$3:$L$28</c:f>
              <c:numCache>
                <c:formatCode>General</c:formatCode>
                <c:ptCount val="26"/>
                <c:pt idx="0">
                  <c:v>14.9</c:v>
                </c:pt>
                <c:pt idx="1">
                  <c:v>17.399999999999999</c:v>
                </c:pt>
                <c:pt idx="2">
                  <c:v>17.100000000000001</c:v>
                </c:pt>
                <c:pt idx="3">
                  <c:v>19.399999999999999</c:v>
                </c:pt>
                <c:pt idx="4">
                  <c:v>17.100000000000001</c:v>
                </c:pt>
                <c:pt idx="5">
                  <c:v>15.8</c:v>
                </c:pt>
                <c:pt idx="6">
                  <c:v>14.6</c:v>
                </c:pt>
                <c:pt idx="7">
                  <c:v>15.9</c:v>
                </c:pt>
                <c:pt idx="8">
                  <c:v>13.3</c:v>
                </c:pt>
                <c:pt idx="9">
                  <c:v>11.7</c:v>
                </c:pt>
                <c:pt idx="10">
                  <c:v>14.1</c:v>
                </c:pt>
                <c:pt idx="11">
                  <c:v>19.3</c:v>
                </c:pt>
                <c:pt idx="12">
                  <c:v>18.100000000000001</c:v>
                </c:pt>
                <c:pt idx="13">
                  <c:v>18.100000000000001</c:v>
                </c:pt>
                <c:pt idx="14">
                  <c:v>21.8</c:v>
                </c:pt>
                <c:pt idx="15">
                  <c:v>21.5</c:v>
                </c:pt>
                <c:pt idx="16">
                  <c:v>14.6</c:v>
                </c:pt>
                <c:pt idx="17">
                  <c:v>12.3</c:v>
                </c:pt>
                <c:pt idx="18">
                  <c:v>13.8</c:v>
                </c:pt>
                <c:pt idx="19">
                  <c:v>15.2</c:v>
                </c:pt>
                <c:pt idx="20">
                  <c:v>15.1</c:v>
                </c:pt>
                <c:pt idx="21">
                  <c:v>14.7</c:v>
                </c:pt>
                <c:pt idx="22">
                  <c:v>15.7</c:v>
                </c:pt>
                <c:pt idx="23">
                  <c:v>15.4</c:v>
                </c:pt>
                <c:pt idx="24">
                  <c:v>14.5</c:v>
                </c:pt>
                <c:pt idx="25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0-4BBF-93FE-CBF8B39CE5AD}"/>
            </c:ext>
          </c:extLst>
        </c:ser>
        <c:ser>
          <c:idx val="1"/>
          <c:order val="1"/>
          <c:tx>
            <c:strRef>
              <c:f>CWB_25N_100m!$M$2</c:f>
              <c:strCache>
                <c:ptCount val="1"/>
                <c:pt idx="0">
                  <c:v>台北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CWB_25N_100m!$K$3:$K$28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CWB_25N_100m!$M$3:$M$28</c:f>
              <c:numCache>
                <c:formatCode>General</c:formatCode>
                <c:ptCount val="26"/>
                <c:pt idx="0">
                  <c:v>13.2</c:v>
                </c:pt>
                <c:pt idx="1">
                  <c:v>14</c:v>
                </c:pt>
                <c:pt idx="2">
                  <c:v>13.4</c:v>
                </c:pt>
                <c:pt idx="3">
                  <c:v>14.6</c:v>
                </c:pt>
                <c:pt idx="4">
                  <c:v>12.7</c:v>
                </c:pt>
                <c:pt idx="5">
                  <c:v>13.8</c:v>
                </c:pt>
                <c:pt idx="6">
                  <c:v>12.8</c:v>
                </c:pt>
                <c:pt idx="7">
                  <c:v>13</c:v>
                </c:pt>
                <c:pt idx="8">
                  <c:v>13.1</c:v>
                </c:pt>
                <c:pt idx="9">
                  <c:v>12.8</c:v>
                </c:pt>
                <c:pt idx="10">
                  <c:v>10.1</c:v>
                </c:pt>
                <c:pt idx="11">
                  <c:v>11.5</c:v>
                </c:pt>
                <c:pt idx="12">
                  <c:v>11.4</c:v>
                </c:pt>
                <c:pt idx="13">
                  <c:v>13.9</c:v>
                </c:pt>
                <c:pt idx="14">
                  <c:v>14.8</c:v>
                </c:pt>
                <c:pt idx="15">
                  <c:v>15.9</c:v>
                </c:pt>
                <c:pt idx="16">
                  <c:v>12</c:v>
                </c:pt>
                <c:pt idx="17">
                  <c:v>13.7</c:v>
                </c:pt>
                <c:pt idx="18">
                  <c:v>14.7</c:v>
                </c:pt>
                <c:pt idx="19">
                  <c:v>15.1</c:v>
                </c:pt>
                <c:pt idx="20">
                  <c:v>14.5</c:v>
                </c:pt>
                <c:pt idx="21">
                  <c:v>13.9</c:v>
                </c:pt>
                <c:pt idx="22">
                  <c:v>11.5</c:v>
                </c:pt>
                <c:pt idx="23">
                  <c:v>15</c:v>
                </c:pt>
                <c:pt idx="24">
                  <c:v>13.1</c:v>
                </c:pt>
                <c:pt idx="25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0-4BBF-93FE-CBF8B39CE5AD}"/>
            </c:ext>
          </c:extLst>
        </c:ser>
        <c:ser>
          <c:idx val="2"/>
          <c:order val="2"/>
          <c:tx>
            <c:strRef>
              <c:f>CWB_25N_100m!$N$2</c:f>
              <c:strCache>
                <c:ptCount val="1"/>
                <c:pt idx="0">
                  <c:v>成功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CWB_25N_100m!$K$3:$K$28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CWB_25N_100m!$N$3:$N$28</c:f>
              <c:numCache>
                <c:formatCode>General</c:formatCode>
                <c:ptCount val="26"/>
                <c:pt idx="0">
                  <c:v>27.3</c:v>
                </c:pt>
                <c:pt idx="1">
                  <c:v>16.100000000000001</c:v>
                </c:pt>
                <c:pt idx="2">
                  <c:v>12.9</c:v>
                </c:pt>
                <c:pt idx="3">
                  <c:v>13.6</c:v>
                </c:pt>
                <c:pt idx="4">
                  <c:v>13.9</c:v>
                </c:pt>
                <c:pt idx="5">
                  <c:v>12.2</c:v>
                </c:pt>
                <c:pt idx="6">
                  <c:v>12.1</c:v>
                </c:pt>
                <c:pt idx="7">
                  <c:v>9.6999999999999993</c:v>
                </c:pt>
                <c:pt idx="8">
                  <c:v>7.7</c:v>
                </c:pt>
                <c:pt idx="9">
                  <c:v>10.7</c:v>
                </c:pt>
                <c:pt idx="10">
                  <c:v>10.9</c:v>
                </c:pt>
                <c:pt idx="11">
                  <c:v>13.4</c:v>
                </c:pt>
                <c:pt idx="12">
                  <c:v>16.3</c:v>
                </c:pt>
                <c:pt idx="13">
                  <c:v>14.2</c:v>
                </c:pt>
                <c:pt idx="14">
                  <c:v>15.3</c:v>
                </c:pt>
                <c:pt idx="15">
                  <c:v>12.9</c:v>
                </c:pt>
                <c:pt idx="16">
                  <c:v>14.9</c:v>
                </c:pt>
                <c:pt idx="17">
                  <c:v>14.5</c:v>
                </c:pt>
                <c:pt idx="18">
                  <c:v>14</c:v>
                </c:pt>
                <c:pt idx="19">
                  <c:v>12</c:v>
                </c:pt>
                <c:pt idx="20">
                  <c:v>12.2</c:v>
                </c:pt>
                <c:pt idx="21">
                  <c:v>11.5</c:v>
                </c:pt>
                <c:pt idx="22">
                  <c:v>13</c:v>
                </c:pt>
                <c:pt idx="23">
                  <c:v>12.9</c:v>
                </c:pt>
                <c:pt idx="24">
                  <c:v>9.8000000000000007</c:v>
                </c:pt>
                <c:pt idx="25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0-4BBF-93FE-CBF8B39CE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145352"/>
        <c:axId val="1034137792"/>
      </c:lineChart>
      <c:catAx>
        <c:axId val="103414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4137792"/>
        <c:crosses val="autoZero"/>
        <c:auto val="1"/>
        <c:lblAlgn val="ctr"/>
        <c:lblOffset val="100"/>
        <c:noMultiLvlLbl val="0"/>
      </c:catAx>
      <c:valAx>
        <c:axId val="103413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3414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最大風比較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CWB_25N_100m!$P$2</c:f>
              <c:strCache>
                <c:ptCount val="1"/>
                <c:pt idx="0">
                  <c:v>台南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CWB_25N_100m!$O$3:$O$28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CWB_25N_100m!$P$3:$P$28</c:f>
              <c:numCache>
                <c:formatCode>General</c:formatCode>
                <c:ptCount val="26"/>
                <c:pt idx="0">
                  <c:v>7.8</c:v>
                </c:pt>
                <c:pt idx="1">
                  <c:v>9.1999999999999993</c:v>
                </c:pt>
                <c:pt idx="2">
                  <c:v>9.4</c:v>
                </c:pt>
                <c:pt idx="3">
                  <c:v>9.1</c:v>
                </c:pt>
                <c:pt idx="4">
                  <c:v>7.9</c:v>
                </c:pt>
                <c:pt idx="5">
                  <c:v>8.1999999999999993</c:v>
                </c:pt>
                <c:pt idx="6">
                  <c:v>7.8</c:v>
                </c:pt>
                <c:pt idx="7">
                  <c:v>7.3</c:v>
                </c:pt>
                <c:pt idx="8">
                  <c:v>7</c:v>
                </c:pt>
                <c:pt idx="9">
                  <c:v>5.5</c:v>
                </c:pt>
                <c:pt idx="10">
                  <c:v>8.1</c:v>
                </c:pt>
                <c:pt idx="11">
                  <c:v>9.9</c:v>
                </c:pt>
                <c:pt idx="12">
                  <c:v>9.6999999999999993</c:v>
                </c:pt>
                <c:pt idx="13">
                  <c:v>10.8</c:v>
                </c:pt>
                <c:pt idx="14">
                  <c:v>12.5</c:v>
                </c:pt>
                <c:pt idx="15">
                  <c:v>9.4</c:v>
                </c:pt>
                <c:pt idx="16">
                  <c:v>6.9</c:v>
                </c:pt>
                <c:pt idx="17">
                  <c:v>8.1</c:v>
                </c:pt>
                <c:pt idx="18">
                  <c:v>8.3000000000000007</c:v>
                </c:pt>
                <c:pt idx="19">
                  <c:v>9.3000000000000007</c:v>
                </c:pt>
                <c:pt idx="20">
                  <c:v>8.6</c:v>
                </c:pt>
                <c:pt idx="21">
                  <c:v>9.1</c:v>
                </c:pt>
                <c:pt idx="22">
                  <c:v>9</c:v>
                </c:pt>
                <c:pt idx="23">
                  <c:v>8.6</c:v>
                </c:pt>
                <c:pt idx="24">
                  <c:v>8.6999999999999993</c:v>
                </c:pt>
                <c:pt idx="25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E-4093-8CEC-F5F0367C8ACC}"/>
            </c:ext>
          </c:extLst>
        </c:ser>
        <c:ser>
          <c:idx val="1"/>
          <c:order val="1"/>
          <c:tx>
            <c:strRef>
              <c:f>CWB_25N_100m!$Q$2</c:f>
              <c:strCache>
                <c:ptCount val="1"/>
                <c:pt idx="0">
                  <c:v>台北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CWB_25N_100m!$O$3:$O$28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CWB_25N_100m!$Q$3:$Q$28</c:f>
              <c:numCache>
                <c:formatCode>General</c:formatCode>
                <c:ptCount val="26"/>
                <c:pt idx="0">
                  <c:v>7.4</c:v>
                </c:pt>
                <c:pt idx="1">
                  <c:v>5.7</c:v>
                </c:pt>
                <c:pt idx="2">
                  <c:v>5.4</c:v>
                </c:pt>
                <c:pt idx="3">
                  <c:v>5.9</c:v>
                </c:pt>
                <c:pt idx="4">
                  <c:v>5.4</c:v>
                </c:pt>
                <c:pt idx="5">
                  <c:v>5.8</c:v>
                </c:pt>
                <c:pt idx="6">
                  <c:v>4.8</c:v>
                </c:pt>
                <c:pt idx="7">
                  <c:v>5.2</c:v>
                </c:pt>
                <c:pt idx="8">
                  <c:v>5.5</c:v>
                </c:pt>
                <c:pt idx="9">
                  <c:v>4.8</c:v>
                </c:pt>
                <c:pt idx="10">
                  <c:v>4.5999999999999996</c:v>
                </c:pt>
                <c:pt idx="11">
                  <c:v>4.3</c:v>
                </c:pt>
                <c:pt idx="12">
                  <c:v>4.5999999999999996</c:v>
                </c:pt>
                <c:pt idx="13">
                  <c:v>5.5</c:v>
                </c:pt>
                <c:pt idx="14">
                  <c:v>6</c:v>
                </c:pt>
                <c:pt idx="15">
                  <c:v>6.4</c:v>
                </c:pt>
                <c:pt idx="16">
                  <c:v>6.1</c:v>
                </c:pt>
                <c:pt idx="17">
                  <c:v>5.4</c:v>
                </c:pt>
                <c:pt idx="18">
                  <c:v>6.8</c:v>
                </c:pt>
                <c:pt idx="19">
                  <c:v>5.7</c:v>
                </c:pt>
                <c:pt idx="20">
                  <c:v>5.6</c:v>
                </c:pt>
                <c:pt idx="21">
                  <c:v>5.3</c:v>
                </c:pt>
                <c:pt idx="22">
                  <c:v>4.9000000000000004</c:v>
                </c:pt>
                <c:pt idx="23">
                  <c:v>6.5</c:v>
                </c:pt>
                <c:pt idx="24">
                  <c:v>5.8</c:v>
                </c:pt>
                <c:pt idx="25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9E-4093-8CEC-F5F0367C8ACC}"/>
            </c:ext>
          </c:extLst>
        </c:ser>
        <c:ser>
          <c:idx val="2"/>
          <c:order val="2"/>
          <c:tx>
            <c:strRef>
              <c:f>CWB_25N_100m!$R$2</c:f>
              <c:strCache>
                <c:ptCount val="1"/>
                <c:pt idx="0">
                  <c:v>成功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CWB_25N_100m!$O$3:$O$28</c:f>
              <c:numCache>
                <c:formatCode>General</c:formatCode>
                <c:ptCount val="26"/>
                <c:pt idx="0">
                  <c:v>90317</c:v>
                </c:pt>
                <c:pt idx="1">
                  <c:v>90318</c:v>
                </c:pt>
                <c:pt idx="2">
                  <c:v>90319</c:v>
                </c:pt>
                <c:pt idx="3">
                  <c:v>90320</c:v>
                </c:pt>
                <c:pt idx="4">
                  <c:v>90321</c:v>
                </c:pt>
                <c:pt idx="5">
                  <c:v>90322</c:v>
                </c:pt>
                <c:pt idx="6">
                  <c:v>90323</c:v>
                </c:pt>
                <c:pt idx="7">
                  <c:v>90324</c:v>
                </c:pt>
                <c:pt idx="8">
                  <c:v>90401</c:v>
                </c:pt>
                <c:pt idx="9">
                  <c:v>90402</c:v>
                </c:pt>
                <c:pt idx="10">
                  <c:v>90403</c:v>
                </c:pt>
                <c:pt idx="11">
                  <c:v>90404</c:v>
                </c:pt>
                <c:pt idx="12">
                  <c:v>90405</c:v>
                </c:pt>
                <c:pt idx="13">
                  <c:v>90406</c:v>
                </c:pt>
                <c:pt idx="14">
                  <c:v>90407</c:v>
                </c:pt>
                <c:pt idx="15">
                  <c:v>90408</c:v>
                </c:pt>
                <c:pt idx="16">
                  <c:v>90409</c:v>
                </c:pt>
                <c:pt idx="17">
                  <c:v>90410</c:v>
                </c:pt>
                <c:pt idx="18">
                  <c:v>90411</c:v>
                </c:pt>
                <c:pt idx="19">
                  <c:v>90412</c:v>
                </c:pt>
                <c:pt idx="20">
                  <c:v>90413</c:v>
                </c:pt>
                <c:pt idx="21">
                  <c:v>90414</c:v>
                </c:pt>
                <c:pt idx="22">
                  <c:v>90415</c:v>
                </c:pt>
                <c:pt idx="23">
                  <c:v>90416</c:v>
                </c:pt>
                <c:pt idx="24">
                  <c:v>90417</c:v>
                </c:pt>
                <c:pt idx="25">
                  <c:v>90418</c:v>
                </c:pt>
              </c:numCache>
            </c:numRef>
          </c:cat>
          <c:val>
            <c:numRef>
              <c:f>CWB_25N_100m!$R$3:$R$28</c:f>
              <c:numCache>
                <c:formatCode>General</c:formatCode>
                <c:ptCount val="26"/>
                <c:pt idx="0">
                  <c:v>18.399999999999999</c:v>
                </c:pt>
                <c:pt idx="1">
                  <c:v>9.3000000000000007</c:v>
                </c:pt>
                <c:pt idx="2">
                  <c:v>8.9</c:v>
                </c:pt>
                <c:pt idx="3">
                  <c:v>7.8</c:v>
                </c:pt>
                <c:pt idx="4">
                  <c:v>8.9</c:v>
                </c:pt>
                <c:pt idx="5">
                  <c:v>7.3</c:v>
                </c:pt>
                <c:pt idx="6">
                  <c:v>7.8</c:v>
                </c:pt>
                <c:pt idx="7">
                  <c:v>5.3</c:v>
                </c:pt>
                <c:pt idx="8">
                  <c:v>4.5999999999999996</c:v>
                </c:pt>
                <c:pt idx="9">
                  <c:v>6.3</c:v>
                </c:pt>
                <c:pt idx="10">
                  <c:v>5.8</c:v>
                </c:pt>
                <c:pt idx="11">
                  <c:v>7.3</c:v>
                </c:pt>
                <c:pt idx="12">
                  <c:v>8.1</c:v>
                </c:pt>
                <c:pt idx="13">
                  <c:v>8</c:v>
                </c:pt>
                <c:pt idx="14">
                  <c:v>8.1999999999999993</c:v>
                </c:pt>
                <c:pt idx="15">
                  <c:v>5.9</c:v>
                </c:pt>
                <c:pt idx="16">
                  <c:v>7.5</c:v>
                </c:pt>
                <c:pt idx="17">
                  <c:v>7.6</c:v>
                </c:pt>
                <c:pt idx="18">
                  <c:v>7.2</c:v>
                </c:pt>
                <c:pt idx="19">
                  <c:v>6.8</c:v>
                </c:pt>
                <c:pt idx="20">
                  <c:v>6.4</c:v>
                </c:pt>
                <c:pt idx="21">
                  <c:v>6.8</c:v>
                </c:pt>
                <c:pt idx="22">
                  <c:v>7.5</c:v>
                </c:pt>
                <c:pt idx="23">
                  <c:v>6</c:v>
                </c:pt>
                <c:pt idx="24">
                  <c:v>5.9</c:v>
                </c:pt>
                <c:pt idx="25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9E-4093-8CEC-F5F0367C8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896320"/>
        <c:axId val="767901000"/>
      </c:lineChart>
      <c:catAx>
        <c:axId val="7678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7901000"/>
        <c:crosses val="autoZero"/>
        <c:auto val="1"/>
        <c:lblAlgn val="ctr"/>
        <c:lblOffset val="100"/>
        <c:noMultiLvlLbl val="0"/>
      </c:catAx>
      <c:valAx>
        <c:axId val="76790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78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430530</xdr:colOff>
      <xdr:row>5</xdr:row>
      <xdr:rowOff>83820</xdr:rowOff>
    </xdr:from>
    <xdr:to>
      <xdr:col>9</xdr:col>
      <xdr:colOff>354330</xdr:colOff>
      <xdr:row>18</xdr:row>
      <xdr:rowOff>152400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5AF2048-00B5-E46E-4FA7-BB62F4C0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430530</xdr:colOff>
      <xdr:row>10</xdr:row>
      <xdr:rowOff>83820</xdr:rowOff>
    </xdr:from>
    <xdr:to>
      <xdr:col>9</xdr:col>
      <xdr:colOff>354330</xdr:colOff>
      <xdr:row>23</xdr:row>
      <xdr:rowOff>152400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5056EF0-1F38-3E1D-F2F0-FCCBD075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553720</xdr:colOff>
      <xdr:row>7</xdr:row>
      <xdr:rowOff>172720</xdr:rowOff>
    </xdr:from>
    <xdr:to>
      <xdr:col>9</xdr:col>
      <xdr:colOff>472440</xdr:colOff>
      <xdr:row>21</xdr:row>
      <xdr:rowOff>71120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4572CA9D-E11B-D04F-5934-EA410C9E5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1010920</xdr:colOff>
      <xdr:row>9</xdr:row>
      <xdr:rowOff>142240</xdr:rowOff>
    </xdr:from>
    <xdr:to>
      <xdr:col>10</xdr:col>
      <xdr:colOff>320040</xdr:colOff>
      <xdr:row>23</xdr:row>
      <xdr:rowOff>40640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BDF28E6E-490E-3BF0-DF13-A595C3329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9"/>
  <sheetViews>
    <sheetView tabSelected="1" zoomScale="75" zoomScaleNormal="100" workbookViewId="0">
      <selection activeCell="O2" sqref="O2:R28"/>
    </sheetView>
  </sheetViews>
  <sheetFormatPr defaultRowHeight="16.2" x14ac:dyDescent="0.3"/>
  <cols>
    <col min="2" max="2" width="31.33203125" customWidth="1"/>
    <col min="3" max="4" width="23.33203125" customWidth="1"/>
  </cols>
  <sheetData>
    <row r="1" spans="1:20" x14ac:dyDescent="0.3">
      <c r="A1" t="s">
        <v>0</v>
      </c>
      <c r="B1" t="s">
        <v>1</v>
      </c>
      <c r="C1" t="s">
        <v>2</v>
      </c>
      <c r="E1" t="s">
        <v>3</v>
      </c>
      <c r="G1" t="s">
        <v>4</v>
      </c>
    </row>
    <row r="2" spans="1:20" x14ac:dyDescent="0.3">
      <c r="A2">
        <v>100</v>
      </c>
      <c r="B2">
        <v>1008.18</v>
      </c>
      <c r="C2">
        <v>3.23</v>
      </c>
      <c r="D2">
        <f>C2/1013.25</f>
        <v>3.1877621514927214E-3</v>
      </c>
      <c r="E2">
        <v>18.399999999999999</v>
      </c>
      <c r="F2">
        <f>E2+273.15</f>
        <v>291.54999999999995</v>
      </c>
      <c r="G2">
        <f>EXP((-A2*0.001)/7.4)</f>
        <v>0.98657738410083806</v>
      </c>
      <c r="H2">
        <f>(D2*273.15*100)/F2</f>
        <v>0.29865794261026818</v>
      </c>
      <c r="I2">
        <f>SUM(H:H)</f>
        <v>246.74484919891498</v>
      </c>
      <c r="L2" t="s">
        <v>5</v>
      </c>
      <c r="M2" t="s">
        <v>6</v>
      </c>
      <c r="N2" t="s">
        <v>7</v>
      </c>
      <c r="P2" t="s">
        <v>5</v>
      </c>
      <c r="Q2" t="s">
        <v>6</v>
      </c>
      <c r="R2" t="s">
        <v>7</v>
      </c>
    </row>
    <row r="3" spans="1:20" x14ac:dyDescent="0.3">
      <c r="A3">
        <v>200</v>
      </c>
      <c r="B3">
        <v>996.59199999999998</v>
      </c>
      <c r="C3">
        <v>3.6970000000000001</v>
      </c>
      <c r="D3">
        <f t="shared" ref="D3:D66" si="0">C3/1013.25</f>
        <v>3.6486553170490994E-3</v>
      </c>
      <c r="E3">
        <v>17.439999999999898</v>
      </c>
      <c r="F3">
        <f t="shared" ref="F3:F66" si="1">E3+273.15</f>
        <v>290.58999999999986</v>
      </c>
      <c r="G3">
        <f t="shared" ref="G3:G66" si="2">EXP((-A3*0.001)/7.4)</f>
        <v>0.97333493481925271</v>
      </c>
      <c r="H3">
        <f t="shared" ref="H3:H66" si="3">(D3*273.15*100)/F3</f>
        <v>0.34296782403109599</v>
      </c>
      <c r="K3">
        <v>90317</v>
      </c>
      <c r="L3">
        <v>14.9</v>
      </c>
      <c r="M3">
        <v>13.2</v>
      </c>
      <c r="N3">
        <v>27.3</v>
      </c>
      <c r="O3">
        <v>90317</v>
      </c>
      <c r="P3">
        <v>7.8</v>
      </c>
      <c r="Q3">
        <v>7.4</v>
      </c>
      <c r="R3">
        <v>18.399999999999999</v>
      </c>
      <c r="T3">
        <v>27.3</v>
      </c>
    </row>
    <row r="4" spans="1:20" x14ac:dyDescent="0.3">
      <c r="A4">
        <v>300</v>
      </c>
      <c r="B4">
        <v>985.005</v>
      </c>
      <c r="C4">
        <v>4.0780000000000003</v>
      </c>
      <c r="D4">
        <f t="shared" si="0"/>
        <v>4.0246730816679002E-3</v>
      </c>
      <c r="E4">
        <v>16.8</v>
      </c>
      <c r="F4">
        <f t="shared" si="1"/>
        <v>289.95</v>
      </c>
      <c r="G4">
        <f t="shared" si="2"/>
        <v>0.96027023384793808</v>
      </c>
      <c r="H4">
        <f t="shared" si="3"/>
        <v>0.37914794007849173</v>
      </c>
      <c r="K4">
        <f>K3+1</f>
        <v>90318</v>
      </c>
      <c r="L4">
        <v>17.399999999999999</v>
      </c>
      <c r="M4">
        <v>14</v>
      </c>
      <c r="N4">
        <v>16.100000000000001</v>
      </c>
      <c r="O4">
        <f>O3+1</f>
        <v>90318</v>
      </c>
      <c r="P4">
        <v>9.1999999999999993</v>
      </c>
      <c r="Q4">
        <v>5.7</v>
      </c>
      <c r="R4">
        <v>9.3000000000000007</v>
      </c>
      <c r="T4">
        <v>16.100000000000001</v>
      </c>
    </row>
    <row r="5" spans="1:20" x14ac:dyDescent="0.3">
      <c r="A5">
        <v>400</v>
      </c>
      <c r="B5">
        <v>973.39599999999996</v>
      </c>
      <c r="C5">
        <v>4.4021999999999997</v>
      </c>
      <c r="D5">
        <f t="shared" si="0"/>
        <v>4.3446336047372313E-3</v>
      </c>
      <c r="E5">
        <v>16.100000000000001</v>
      </c>
      <c r="F5">
        <f t="shared" si="1"/>
        <v>289.25</v>
      </c>
      <c r="G5">
        <f t="shared" si="2"/>
        <v>0.94738089533959879</v>
      </c>
      <c r="H5">
        <f t="shared" si="3"/>
        <v>0.41028061162799473</v>
      </c>
      <c r="K5">
        <f t="shared" ref="K5:K28" si="4">K4+1</f>
        <v>90319</v>
      </c>
      <c r="L5">
        <v>17.100000000000001</v>
      </c>
      <c r="M5">
        <v>13.4</v>
      </c>
      <c r="N5">
        <v>12.9</v>
      </c>
      <c r="O5">
        <f t="shared" ref="O5:O28" si="5">O4+1</f>
        <v>90319</v>
      </c>
      <c r="P5">
        <v>9.4</v>
      </c>
      <c r="Q5">
        <v>5.4</v>
      </c>
      <c r="R5">
        <v>8.9</v>
      </c>
      <c r="T5">
        <v>12.9</v>
      </c>
    </row>
    <row r="6" spans="1:20" x14ac:dyDescent="0.3">
      <c r="A6">
        <v>500</v>
      </c>
      <c r="B6">
        <v>962.23799999999903</v>
      </c>
      <c r="C6">
        <v>4.63</v>
      </c>
      <c r="D6">
        <f t="shared" si="0"/>
        <v>4.5694547248951393E-3</v>
      </c>
      <c r="E6">
        <v>15.42</v>
      </c>
      <c r="F6">
        <f t="shared" si="1"/>
        <v>288.57</v>
      </c>
      <c r="G6">
        <f t="shared" si="2"/>
        <v>0.93466456547125132</v>
      </c>
      <c r="H6">
        <f t="shared" si="3"/>
        <v>0.43252817621551348</v>
      </c>
      <c r="K6">
        <f t="shared" si="4"/>
        <v>90320</v>
      </c>
      <c r="L6">
        <v>19.399999999999999</v>
      </c>
      <c r="M6">
        <v>14.6</v>
      </c>
      <c r="N6">
        <v>13.6</v>
      </c>
      <c r="O6">
        <f t="shared" si="5"/>
        <v>90320</v>
      </c>
      <c r="P6">
        <v>9.1</v>
      </c>
      <c r="Q6">
        <v>5.9</v>
      </c>
      <c r="R6">
        <v>7.8</v>
      </c>
      <c r="T6">
        <v>13.6</v>
      </c>
    </row>
    <row r="7" spans="1:20" x14ac:dyDescent="0.3">
      <c r="A7">
        <v>600</v>
      </c>
      <c r="B7">
        <v>950.84799999999996</v>
      </c>
      <c r="C7">
        <v>4.7489999999999997</v>
      </c>
      <c r="D7">
        <f t="shared" si="0"/>
        <v>4.6868985936343449E-3</v>
      </c>
      <c r="E7">
        <v>14.7</v>
      </c>
      <c r="F7">
        <f t="shared" si="1"/>
        <v>287.84999999999997</v>
      </c>
      <c r="G7">
        <f t="shared" si="2"/>
        <v>0.92211892201437373</v>
      </c>
      <c r="H7">
        <f t="shared" si="3"/>
        <v>0.44475468155331643</v>
      </c>
      <c r="K7">
        <f t="shared" si="4"/>
        <v>90321</v>
      </c>
      <c r="L7">
        <v>17.100000000000001</v>
      </c>
      <c r="M7">
        <v>12.7</v>
      </c>
      <c r="N7">
        <v>13.9</v>
      </c>
      <c r="O7">
        <f t="shared" si="5"/>
        <v>90321</v>
      </c>
      <c r="P7">
        <v>7.9</v>
      </c>
      <c r="Q7">
        <v>5.4</v>
      </c>
      <c r="R7">
        <v>8.9</v>
      </c>
      <c r="T7">
        <v>13.9</v>
      </c>
    </row>
    <row r="8" spans="1:20" x14ac:dyDescent="0.3">
      <c r="A8">
        <v>700</v>
      </c>
      <c r="B8">
        <v>939.63</v>
      </c>
      <c r="C8">
        <v>4.8410000000000002</v>
      </c>
      <c r="D8">
        <f t="shared" si="0"/>
        <v>4.7776955341722179E-3</v>
      </c>
      <c r="E8">
        <v>14.4</v>
      </c>
      <c r="F8">
        <f t="shared" si="1"/>
        <v>287.54999999999995</v>
      </c>
      <c r="G8">
        <f t="shared" si="2"/>
        <v>0.9097416739108255</v>
      </c>
      <c r="H8">
        <f t="shared" si="3"/>
        <v>0.45384369158725141</v>
      </c>
      <c r="K8">
        <f t="shared" si="4"/>
        <v>90322</v>
      </c>
      <c r="L8">
        <v>15.8</v>
      </c>
      <c r="M8">
        <v>13.8</v>
      </c>
      <c r="N8">
        <v>12.2</v>
      </c>
      <c r="O8">
        <f t="shared" si="5"/>
        <v>90322</v>
      </c>
      <c r="P8">
        <v>8.1999999999999993</v>
      </c>
      <c r="Q8">
        <v>5.8</v>
      </c>
      <c r="R8">
        <v>7.3</v>
      </c>
      <c r="T8">
        <v>12.2</v>
      </c>
    </row>
    <row r="9" spans="1:20" x14ac:dyDescent="0.3">
      <c r="A9">
        <v>800</v>
      </c>
      <c r="B9">
        <v>928.59199999999998</v>
      </c>
      <c r="C9">
        <v>4.9017999999999997</v>
      </c>
      <c r="D9">
        <f t="shared" si="0"/>
        <v>4.8377004687885517E-3</v>
      </c>
      <c r="E9">
        <v>13.8</v>
      </c>
      <c r="F9">
        <f t="shared" si="1"/>
        <v>286.95</v>
      </c>
      <c r="G9">
        <f t="shared" si="2"/>
        <v>0.89753056085445992</v>
      </c>
      <c r="H9">
        <f t="shared" si="3"/>
        <v>0.46050457677281509</v>
      </c>
      <c r="K9">
        <f t="shared" si="4"/>
        <v>90323</v>
      </c>
      <c r="L9">
        <v>14.6</v>
      </c>
      <c r="M9">
        <v>12.8</v>
      </c>
      <c r="N9">
        <v>12.1</v>
      </c>
      <c r="O9">
        <f t="shared" si="5"/>
        <v>90323</v>
      </c>
      <c r="P9">
        <v>7.8</v>
      </c>
      <c r="Q9">
        <v>4.8</v>
      </c>
      <c r="R9">
        <v>7.8</v>
      </c>
      <c r="T9">
        <v>12.1</v>
      </c>
    </row>
    <row r="10" spans="1:20" x14ac:dyDescent="0.3">
      <c r="A10">
        <v>900</v>
      </c>
      <c r="B10">
        <v>917.77</v>
      </c>
      <c r="C10">
        <v>4.9610000000000003</v>
      </c>
      <c r="D10">
        <f t="shared" si="0"/>
        <v>4.8961263261781398E-3</v>
      </c>
      <c r="E10">
        <v>12.8</v>
      </c>
      <c r="F10">
        <f t="shared" si="1"/>
        <v>285.95</v>
      </c>
      <c r="G10">
        <f t="shared" si="2"/>
        <v>0.88548335287835123</v>
      </c>
      <c r="H10">
        <f t="shared" si="3"/>
        <v>0.46769606784247547</v>
      </c>
      <c r="K10">
        <f t="shared" si="4"/>
        <v>90324</v>
      </c>
      <c r="L10">
        <v>15.9</v>
      </c>
      <c r="M10">
        <v>13</v>
      </c>
      <c r="N10">
        <v>9.6999999999999993</v>
      </c>
      <c r="O10">
        <f t="shared" si="5"/>
        <v>90324</v>
      </c>
      <c r="P10">
        <v>7.3</v>
      </c>
      <c r="Q10">
        <v>5.2</v>
      </c>
      <c r="R10">
        <v>5.3</v>
      </c>
      <c r="T10">
        <v>9.6999999999999993</v>
      </c>
    </row>
    <row r="11" spans="1:20" x14ac:dyDescent="0.3">
      <c r="A11">
        <v>1000</v>
      </c>
      <c r="B11">
        <v>906.69</v>
      </c>
      <c r="C11">
        <v>4.9589999999999996</v>
      </c>
      <c r="D11">
        <f t="shared" si="0"/>
        <v>4.8941524796447073E-3</v>
      </c>
      <c r="E11">
        <v>11.7</v>
      </c>
      <c r="F11">
        <f t="shared" si="1"/>
        <v>284.84999999999997</v>
      </c>
      <c r="G11">
        <f t="shared" si="2"/>
        <v>0.87359784994756307</v>
      </c>
      <c r="H11">
        <f t="shared" si="3"/>
        <v>0.46931288390905801</v>
      </c>
      <c r="K11">
        <v>90401</v>
      </c>
      <c r="L11">
        <v>13.3</v>
      </c>
      <c r="M11">
        <v>13.1</v>
      </c>
      <c r="N11">
        <v>7.7</v>
      </c>
      <c r="O11">
        <v>90401</v>
      </c>
      <c r="P11">
        <v>7</v>
      </c>
      <c r="Q11">
        <v>5.5</v>
      </c>
      <c r="R11">
        <v>4.5999999999999996</v>
      </c>
      <c r="T11">
        <v>7.7</v>
      </c>
    </row>
    <row r="12" spans="1:20" x14ac:dyDescent="0.3">
      <c r="A12">
        <v>1100</v>
      </c>
      <c r="B12">
        <v>896.05499999999995</v>
      </c>
      <c r="C12">
        <v>4.9470000000000001</v>
      </c>
      <c r="D12">
        <f t="shared" si="0"/>
        <v>4.8823094004441158E-3</v>
      </c>
      <c r="E12">
        <v>10.8</v>
      </c>
      <c r="F12">
        <f t="shared" si="1"/>
        <v>283.95</v>
      </c>
      <c r="G12">
        <f t="shared" si="2"/>
        <v>0.86187188155738326</v>
      </c>
      <c r="H12">
        <f t="shared" si="3"/>
        <v>0.46966114200785714</v>
      </c>
      <c r="K12">
        <f t="shared" si="4"/>
        <v>90402</v>
      </c>
      <c r="L12">
        <v>11.7</v>
      </c>
      <c r="M12">
        <v>12.8</v>
      </c>
      <c r="N12">
        <v>10.7</v>
      </c>
      <c r="O12">
        <f t="shared" si="5"/>
        <v>90402</v>
      </c>
      <c r="P12">
        <v>5.5</v>
      </c>
      <c r="Q12">
        <v>4.8</v>
      </c>
      <c r="R12">
        <v>6.3</v>
      </c>
      <c r="T12">
        <v>10.7</v>
      </c>
    </row>
    <row r="13" spans="1:20" x14ac:dyDescent="0.3">
      <c r="A13">
        <v>1200</v>
      </c>
      <c r="B13">
        <v>885.24</v>
      </c>
      <c r="C13">
        <v>4.8196666666666603</v>
      </c>
      <c r="D13">
        <f t="shared" si="0"/>
        <v>4.7566411711489369E-3</v>
      </c>
      <c r="E13">
        <v>9.86666666666666</v>
      </c>
      <c r="F13">
        <f t="shared" si="1"/>
        <v>283.01666666666665</v>
      </c>
      <c r="G13">
        <f t="shared" si="2"/>
        <v>0.85030330633695062</v>
      </c>
      <c r="H13">
        <f t="shared" si="3"/>
        <v>0.45908127998327491</v>
      </c>
      <c r="K13">
        <f t="shared" si="4"/>
        <v>90403</v>
      </c>
      <c r="L13">
        <v>14.1</v>
      </c>
      <c r="M13">
        <v>10.1</v>
      </c>
      <c r="N13">
        <v>10.9</v>
      </c>
      <c r="O13">
        <f t="shared" si="5"/>
        <v>90403</v>
      </c>
      <c r="P13">
        <v>8.1</v>
      </c>
      <c r="Q13">
        <v>4.5999999999999996</v>
      </c>
      <c r="R13">
        <v>5.8</v>
      </c>
      <c r="T13">
        <v>10.9</v>
      </c>
    </row>
    <row r="14" spans="1:20" x14ac:dyDescent="0.3">
      <c r="A14">
        <v>1300</v>
      </c>
      <c r="B14">
        <v>874.83142857142798</v>
      </c>
      <c r="C14">
        <v>4.8274285714285696</v>
      </c>
      <c r="D14">
        <f t="shared" si="0"/>
        <v>4.7643015755524992E-3</v>
      </c>
      <c r="E14">
        <v>9.1999999999999993</v>
      </c>
      <c r="F14">
        <f t="shared" si="1"/>
        <v>282.34999999999997</v>
      </c>
      <c r="G14">
        <f t="shared" si="2"/>
        <v>0.83889001165820232</v>
      </c>
      <c r="H14">
        <f t="shared" si="3"/>
        <v>0.46090631321486286</v>
      </c>
      <c r="K14">
        <f t="shared" si="4"/>
        <v>90404</v>
      </c>
      <c r="L14">
        <v>19.3</v>
      </c>
      <c r="M14">
        <v>11.5</v>
      </c>
      <c r="N14">
        <v>13.4</v>
      </c>
      <c r="O14">
        <f t="shared" si="5"/>
        <v>90404</v>
      </c>
      <c r="P14">
        <v>9.9</v>
      </c>
      <c r="Q14">
        <v>4.3</v>
      </c>
      <c r="R14">
        <v>7.3</v>
      </c>
      <c r="T14">
        <v>13.4</v>
      </c>
    </row>
    <row r="15" spans="1:20" x14ac:dyDescent="0.3">
      <c r="A15">
        <v>1400</v>
      </c>
      <c r="B15">
        <v>864.26</v>
      </c>
      <c r="C15">
        <v>4.7469999999999999</v>
      </c>
      <c r="D15">
        <f t="shared" si="0"/>
        <v>4.6849247471009124E-3</v>
      </c>
      <c r="E15">
        <v>8.9</v>
      </c>
      <c r="F15">
        <f t="shared" si="1"/>
        <v>282.04999999999995</v>
      </c>
      <c r="G15">
        <f t="shared" si="2"/>
        <v>0.82762991325007074</v>
      </c>
      <c r="H15">
        <f t="shared" si="3"/>
        <v>0.45370934042567423</v>
      </c>
      <c r="K15">
        <f t="shared" si="4"/>
        <v>90405</v>
      </c>
      <c r="L15">
        <v>18.100000000000001</v>
      </c>
      <c r="M15">
        <v>11.4</v>
      </c>
      <c r="N15">
        <v>16.3</v>
      </c>
      <c r="O15">
        <f t="shared" si="5"/>
        <v>90405</v>
      </c>
      <c r="P15">
        <v>9.6999999999999993</v>
      </c>
      <c r="Q15">
        <v>4.5999999999999996</v>
      </c>
      <c r="R15">
        <v>8.1</v>
      </c>
      <c r="T15">
        <v>16.3</v>
      </c>
    </row>
    <row r="16" spans="1:20" x14ac:dyDescent="0.3">
      <c r="A16">
        <v>1500</v>
      </c>
      <c r="B16">
        <v>854.01599999999996</v>
      </c>
      <c r="C16">
        <v>4.5831999999999997</v>
      </c>
      <c r="D16">
        <f t="shared" si="0"/>
        <v>4.5232667160128295E-3</v>
      </c>
      <c r="E16">
        <v>9.4</v>
      </c>
      <c r="F16">
        <f t="shared" si="1"/>
        <v>282.54999999999995</v>
      </c>
      <c r="G16">
        <f t="shared" si="2"/>
        <v>0.81652095481785847</v>
      </c>
      <c r="H16">
        <f t="shared" si="3"/>
        <v>0.43727846521992725</v>
      </c>
      <c r="K16">
        <f t="shared" si="4"/>
        <v>90406</v>
      </c>
      <c r="L16">
        <v>18.100000000000001</v>
      </c>
      <c r="M16">
        <v>13.9</v>
      </c>
      <c r="N16">
        <v>14.2</v>
      </c>
      <c r="O16">
        <f t="shared" si="5"/>
        <v>90406</v>
      </c>
      <c r="P16">
        <v>10.8</v>
      </c>
      <c r="Q16">
        <v>5.5</v>
      </c>
      <c r="R16">
        <v>8</v>
      </c>
      <c r="T16">
        <v>14.2</v>
      </c>
    </row>
    <row r="17" spans="1:20" x14ac:dyDescent="0.3">
      <c r="A17">
        <v>1600</v>
      </c>
      <c r="B17">
        <v>843.71</v>
      </c>
      <c r="C17">
        <v>4.4623333333333299</v>
      </c>
      <c r="D17">
        <f t="shared" si="0"/>
        <v>4.4039805905090844E-3</v>
      </c>
      <c r="E17">
        <v>9.4</v>
      </c>
      <c r="F17">
        <f t="shared" si="1"/>
        <v>282.54999999999995</v>
      </c>
      <c r="G17">
        <f t="shared" si="2"/>
        <v>0.80556110766772138</v>
      </c>
      <c r="H17">
        <f t="shared" si="3"/>
        <v>0.42574669909664004</v>
      </c>
      <c r="K17">
        <f t="shared" si="4"/>
        <v>90407</v>
      </c>
      <c r="L17">
        <v>21.8</v>
      </c>
      <c r="M17">
        <v>14.8</v>
      </c>
      <c r="N17">
        <v>15.3</v>
      </c>
      <c r="O17">
        <f t="shared" si="5"/>
        <v>90407</v>
      </c>
      <c r="P17">
        <v>12.5</v>
      </c>
      <c r="Q17">
        <v>6</v>
      </c>
      <c r="R17">
        <v>8.1999999999999993</v>
      </c>
      <c r="T17">
        <v>15.3</v>
      </c>
    </row>
    <row r="18" spans="1:20" x14ac:dyDescent="0.3">
      <c r="A18">
        <v>1700</v>
      </c>
      <c r="B18">
        <v>833.65</v>
      </c>
      <c r="C18">
        <v>4.22</v>
      </c>
      <c r="D18">
        <f t="shared" si="0"/>
        <v>4.1648161855415743E-3</v>
      </c>
      <c r="E18">
        <v>10.199999999999999</v>
      </c>
      <c r="F18">
        <f t="shared" si="1"/>
        <v>283.34999999999997</v>
      </c>
      <c r="G18">
        <f t="shared" si="2"/>
        <v>0.79474837033619417</v>
      </c>
      <c r="H18">
        <f t="shared" si="3"/>
        <v>0.40148916219540531</v>
      </c>
      <c r="K18">
        <f t="shared" si="4"/>
        <v>90408</v>
      </c>
      <c r="L18">
        <v>21.5</v>
      </c>
      <c r="M18">
        <v>15.9</v>
      </c>
      <c r="N18">
        <v>12.9</v>
      </c>
      <c r="O18">
        <f t="shared" si="5"/>
        <v>90408</v>
      </c>
      <c r="P18">
        <v>9.4</v>
      </c>
      <c r="Q18">
        <v>6.4</v>
      </c>
      <c r="R18">
        <v>5.9</v>
      </c>
      <c r="T18">
        <v>12.9</v>
      </c>
    </row>
    <row r="19" spans="1:20" x14ac:dyDescent="0.3">
      <c r="A19">
        <v>1800</v>
      </c>
      <c r="B19">
        <v>823.75799999999902</v>
      </c>
      <c r="C19">
        <v>3.9883999999999999</v>
      </c>
      <c r="D19">
        <f t="shared" si="0"/>
        <v>3.9362447569701456E-3</v>
      </c>
      <c r="E19">
        <v>9.5</v>
      </c>
      <c r="F19">
        <f t="shared" si="1"/>
        <v>282.64999999999998</v>
      </c>
      <c r="G19">
        <f t="shared" si="2"/>
        <v>0.78408076822468664</v>
      </c>
      <c r="H19">
        <f t="shared" si="3"/>
        <v>0.38039457115386355</v>
      </c>
      <c r="K19">
        <f t="shared" si="4"/>
        <v>90409</v>
      </c>
      <c r="L19">
        <v>14.6</v>
      </c>
      <c r="M19">
        <v>12</v>
      </c>
      <c r="N19">
        <v>14.9</v>
      </c>
      <c r="O19">
        <f t="shared" si="5"/>
        <v>90409</v>
      </c>
      <c r="P19">
        <v>6.9</v>
      </c>
      <c r="Q19">
        <v>6.1</v>
      </c>
      <c r="R19">
        <v>7.5</v>
      </c>
      <c r="T19">
        <v>14.9</v>
      </c>
    </row>
    <row r="20" spans="1:20" x14ac:dyDescent="0.3">
      <c r="A20">
        <v>1900</v>
      </c>
      <c r="B20">
        <v>813.82</v>
      </c>
      <c r="C20">
        <v>3.8408571428571401</v>
      </c>
      <c r="D20">
        <f t="shared" si="0"/>
        <v>3.7906312784181002E-3</v>
      </c>
      <c r="E20">
        <v>9.6</v>
      </c>
      <c r="F20">
        <f t="shared" si="1"/>
        <v>282.75</v>
      </c>
      <c r="G20">
        <f t="shared" si="2"/>
        <v>0.77355635323888683</v>
      </c>
      <c r="H20">
        <f t="shared" si="3"/>
        <v>0.36619307999996609</v>
      </c>
      <c r="K20">
        <f t="shared" si="4"/>
        <v>90410</v>
      </c>
      <c r="L20">
        <v>12.3</v>
      </c>
      <c r="M20">
        <v>13.7</v>
      </c>
      <c r="N20">
        <v>14.5</v>
      </c>
      <c r="O20">
        <f t="shared" si="5"/>
        <v>90410</v>
      </c>
      <c r="P20">
        <v>8.1</v>
      </c>
      <c r="Q20">
        <v>5.4</v>
      </c>
      <c r="R20">
        <v>7.6</v>
      </c>
      <c r="T20">
        <v>14.5</v>
      </c>
    </row>
    <row r="21" spans="1:20" x14ac:dyDescent="0.3">
      <c r="A21">
        <v>2000</v>
      </c>
      <c r="B21">
        <v>803.94</v>
      </c>
      <c r="C21">
        <v>3.8210000000000002</v>
      </c>
      <c r="D21">
        <f t="shared" si="0"/>
        <v>3.771033802121885E-3</v>
      </c>
      <c r="E21">
        <v>9.6</v>
      </c>
      <c r="F21">
        <f t="shared" si="1"/>
        <v>282.75</v>
      </c>
      <c r="G21">
        <f t="shared" si="2"/>
        <v>0.76317320343300488</v>
      </c>
      <c r="H21">
        <f t="shared" si="3"/>
        <v>0.36429987022089932</v>
      </c>
      <c r="K21">
        <f t="shared" si="4"/>
        <v>90411</v>
      </c>
      <c r="L21">
        <v>13.8</v>
      </c>
      <c r="M21">
        <v>14.7</v>
      </c>
      <c r="N21">
        <v>14</v>
      </c>
      <c r="O21">
        <f t="shared" si="5"/>
        <v>90411</v>
      </c>
      <c r="P21">
        <v>8.3000000000000007</v>
      </c>
      <c r="Q21">
        <v>6.8</v>
      </c>
      <c r="R21">
        <v>7.2</v>
      </c>
      <c r="T21">
        <v>14</v>
      </c>
    </row>
    <row r="22" spans="1:20" x14ac:dyDescent="0.3">
      <c r="A22">
        <v>2100</v>
      </c>
      <c r="B22">
        <v>794.49</v>
      </c>
      <c r="C22">
        <v>3.855</v>
      </c>
      <c r="D22">
        <f t="shared" si="0"/>
        <v>3.8045891931902296E-3</v>
      </c>
      <c r="E22">
        <v>9.4</v>
      </c>
      <c r="F22">
        <f t="shared" si="1"/>
        <v>282.54999999999995</v>
      </c>
      <c r="G22">
        <f t="shared" si="2"/>
        <v>0.7529294226587907</v>
      </c>
      <c r="H22">
        <f t="shared" si="3"/>
        <v>0.36780164152182315</v>
      </c>
      <c r="K22">
        <f t="shared" si="4"/>
        <v>90412</v>
      </c>
      <c r="L22">
        <v>15.2</v>
      </c>
      <c r="M22">
        <v>15.1</v>
      </c>
      <c r="N22">
        <v>12</v>
      </c>
      <c r="O22">
        <f t="shared" si="5"/>
        <v>90412</v>
      </c>
      <c r="P22">
        <v>9.3000000000000007</v>
      </c>
      <c r="Q22">
        <v>5.7</v>
      </c>
      <c r="R22">
        <v>6.8</v>
      </c>
      <c r="T22">
        <v>12</v>
      </c>
    </row>
    <row r="23" spans="1:20" x14ac:dyDescent="0.3">
      <c r="A23">
        <v>2200</v>
      </c>
      <c r="B23">
        <v>784.863333333333</v>
      </c>
      <c r="C23">
        <v>3.9083333333333301</v>
      </c>
      <c r="D23">
        <f t="shared" si="0"/>
        <v>3.8572251007484137E-3</v>
      </c>
      <c r="E23">
        <v>8.8000000000000007</v>
      </c>
      <c r="F23">
        <f t="shared" si="1"/>
        <v>281.95</v>
      </c>
      <c r="G23">
        <f t="shared" si="2"/>
        <v>0.7428231402192641</v>
      </c>
      <c r="H23">
        <f t="shared" si="3"/>
        <v>0.37368364471339921</v>
      </c>
      <c r="K23">
        <f t="shared" si="4"/>
        <v>90413</v>
      </c>
      <c r="L23">
        <v>15.1</v>
      </c>
      <c r="M23">
        <v>14.5</v>
      </c>
      <c r="N23">
        <v>12.2</v>
      </c>
      <c r="O23">
        <f t="shared" si="5"/>
        <v>90413</v>
      </c>
      <c r="P23">
        <v>8.6</v>
      </c>
      <c r="Q23">
        <v>5.6</v>
      </c>
      <c r="R23">
        <v>6.4</v>
      </c>
      <c r="T23">
        <v>12.2</v>
      </c>
    </row>
    <row r="24" spans="1:20" x14ac:dyDescent="0.3">
      <c r="A24">
        <v>2300</v>
      </c>
      <c r="B24">
        <v>775.44</v>
      </c>
      <c r="C24">
        <v>3.7719999999999998</v>
      </c>
      <c r="D24">
        <f t="shared" si="0"/>
        <v>3.7226745620528002E-3</v>
      </c>
      <c r="E24">
        <v>8.1</v>
      </c>
      <c r="F24">
        <f t="shared" si="1"/>
        <v>281.25</v>
      </c>
      <c r="G24">
        <f t="shared" si="2"/>
        <v>0.73285251052709155</v>
      </c>
      <c r="H24">
        <f t="shared" si="3"/>
        <v>0.36154615346656793</v>
      </c>
      <c r="K24">
        <f t="shared" si="4"/>
        <v>90414</v>
      </c>
      <c r="L24">
        <v>14.7</v>
      </c>
      <c r="M24">
        <v>13.9</v>
      </c>
      <c r="N24">
        <v>11.5</v>
      </c>
      <c r="O24">
        <f t="shared" si="5"/>
        <v>90414</v>
      </c>
      <c r="P24">
        <v>9.1</v>
      </c>
      <c r="Q24">
        <v>5.3</v>
      </c>
      <c r="R24">
        <v>6.8</v>
      </c>
      <c r="T24">
        <v>11.5</v>
      </c>
    </row>
    <row r="25" spans="1:20" x14ac:dyDescent="0.3">
      <c r="A25">
        <v>2400</v>
      </c>
      <c r="B25">
        <v>766.14</v>
      </c>
      <c r="C25">
        <v>3.6829999999999998</v>
      </c>
      <c r="D25">
        <f t="shared" si="0"/>
        <v>3.634838391315075E-3</v>
      </c>
      <c r="E25">
        <v>7.4</v>
      </c>
      <c r="F25">
        <f t="shared" si="1"/>
        <v>280.54999999999995</v>
      </c>
      <c r="G25">
        <f t="shared" si="2"/>
        <v>0.72301571276754995</v>
      </c>
      <c r="H25">
        <f t="shared" si="3"/>
        <v>0.35389631316617814</v>
      </c>
      <c r="K25">
        <f t="shared" si="4"/>
        <v>90415</v>
      </c>
      <c r="L25">
        <v>15.7</v>
      </c>
      <c r="M25">
        <v>11.5</v>
      </c>
      <c r="N25">
        <v>13</v>
      </c>
      <c r="O25">
        <f t="shared" si="5"/>
        <v>90415</v>
      </c>
      <c r="P25">
        <v>9</v>
      </c>
      <c r="Q25">
        <v>4.9000000000000004</v>
      </c>
      <c r="R25">
        <v>7.5</v>
      </c>
      <c r="T25">
        <v>13</v>
      </c>
    </row>
    <row r="26" spans="1:20" x14ac:dyDescent="0.3">
      <c r="A26">
        <v>2500</v>
      </c>
      <c r="B26">
        <v>757.00571428571402</v>
      </c>
      <c r="C26">
        <v>3.5979999999999999</v>
      </c>
      <c r="D26">
        <f t="shared" si="0"/>
        <v>3.550949913644214E-3</v>
      </c>
      <c r="E26">
        <v>6.7285714285714198</v>
      </c>
      <c r="F26">
        <f t="shared" si="1"/>
        <v>279.87857142857138</v>
      </c>
      <c r="G26">
        <f t="shared" si="2"/>
        <v>0.71331095056601235</v>
      </c>
      <c r="H26">
        <f t="shared" si="3"/>
        <v>0.34655813911050298</v>
      </c>
      <c r="K26">
        <f t="shared" si="4"/>
        <v>90416</v>
      </c>
      <c r="L26">
        <v>15.4</v>
      </c>
      <c r="M26">
        <v>15</v>
      </c>
      <c r="N26">
        <v>12.9</v>
      </c>
      <c r="O26">
        <f t="shared" si="5"/>
        <v>90416</v>
      </c>
      <c r="P26">
        <v>8.6</v>
      </c>
      <c r="Q26">
        <v>6.5</v>
      </c>
      <c r="R26">
        <v>6</v>
      </c>
      <c r="T26">
        <v>12.9</v>
      </c>
    </row>
    <row r="27" spans="1:20" x14ac:dyDescent="0.3">
      <c r="A27">
        <v>2600</v>
      </c>
      <c r="B27">
        <v>747.67399999999998</v>
      </c>
      <c r="C27">
        <v>3.3941999999999899</v>
      </c>
      <c r="D27">
        <f t="shared" si="0"/>
        <v>3.3498149518874807E-3</v>
      </c>
      <c r="E27">
        <v>6.4</v>
      </c>
      <c r="F27">
        <f t="shared" si="1"/>
        <v>279.54999999999995</v>
      </c>
      <c r="G27">
        <f t="shared" si="2"/>
        <v>0.70373645165989873</v>
      </c>
      <c r="H27">
        <f t="shared" si="3"/>
        <v>0.32731245004759985</v>
      </c>
      <c r="K27">
        <f t="shared" si="4"/>
        <v>90417</v>
      </c>
      <c r="L27">
        <v>14.5</v>
      </c>
      <c r="M27">
        <v>13.1</v>
      </c>
      <c r="N27">
        <v>9.8000000000000007</v>
      </c>
      <c r="O27">
        <f t="shared" si="5"/>
        <v>90417</v>
      </c>
      <c r="P27">
        <v>8.6999999999999993</v>
      </c>
      <c r="Q27">
        <v>5.8</v>
      </c>
      <c r="R27">
        <v>5.9</v>
      </c>
      <c r="T27">
        <v>9.8000000000000007</v>
      </c>
    </row>
    <row r="28" spans="1:20" x14ac:dyDescent="0.3">
      <c r="A28">
        <v>2700</v>
      </c>
      <c r="B28">
        <v>738.668571428571</v>
      </c>
      <c r="C28">
        <v>3.26628571428571</v>
      </c>
      <c r="D28">
        <f t="shared" si="0"/>
        <v>3.2235733671706983E-3</v>
      </c>
      <c r="E28">
        <v>5.9</v>
      </c>
      <c r="F28">
        <f t="shared" si="1"/>
        <v>279.04999999999995</v>
      </c>
      <c r="G28">
        <f t="shared" si="2"/>
        <v>0.69429046757502888</v>
      </c>
      <c r="H28">
        <f t="shared" si="3"/>
        <v>0.31554168258114185</v>
      </c>
      <c r="K28">
        <f t="shared" si="4"/>
        <v>90418</v>
      </c>
      <c r="L28">
        <v>16.5</v>
      </c>
      <c r="M28">
        <v>12.6</v>
      </c>
      <c r="N28">
        <v>6.9</v>
      </c>
      <c r="O28">
        <f t="shared" si="5"/>
        <v>90418</v>
      </c>
      <c r="P28">
        <v>7.6</v>
      </c>
      <c r="Q28">
        <v>6.2</v>
      </c>
      <c r="R28">
        <v>3.7</v>
      </c>
      <c r="T28">
        <v>6.9</v>
      </c>
    </row>
    <row r="29" spans="1:20" x14ac:dyDescent="0.3">
      <c r="A29">
        <v>2800</v>
      </c>
      <c r="B29">
        <v>729.64</v>
      </c>
      <c r="C29">
        <v>3.1030000000000002</v>
      </c>
      <c r="D29">
        <f t="shared" si="0"/>
        <v>3.0624228966197879E-3</v>
      </c>
      <c r="E29">
        <v>5.0999999999999996</v>
      </c>
      <c r="F29">
        <f t="shared" si="1"/>
        <v>278.25</v>
      </c>
      <c r="G29">
        <f t="shared" si="2"/>
        <v>0.68497127330631968</v>
      </c>
      <c r="H29">
        <f t="shared" si="3"/>
        <v>0.30062922343636839</v>
      </c>
    </row>
    <row r="30" spans="1:20" x14ac:dyDescent="0.3">
      <c r="A30">
        <v>2900</v>
      </c>
      <c r="B30">
        <v>720.79</v>
      </c>
      <c r="C30">
        <v>3.04</v>
      </c>
      <c r="D30">
        <f t="shared" si="0"/>
        <v>3.0002467308166791E-3</v>
      </c>
      <c r="E30">
        <v>4.5999999999999996</v>
      </c>
      <c r="F30">
        <f t="shared" si="1"/>
        <v>277.75</v>
      </c>
      <c r="G30">
        <f t="shared" si="2"/>
        <v>0.67577716700276913</v>
      </c>
      <c r="H30">
        <f t="shared" si="3"/>
        <v>0.29505576760488778</v>
      </c>
    </row>
    <row r="31" spans="1:20" x14ac:dyDescent="0.3">
      <c r="A31">
        <v>3000</v>
      </c>
      <c r="B31">
        <v>712.04600000000005</v>
      </c>
      <c r="C31">
        <v>2.9329999999999998</v>
      </c>
      <c r="D31">
        <f t="shared" si="0"/>
        <v>2.8946459412780654E-3</v>
      </c>
      <c r="E31">
        <v>4</v>
      </c>
      <c r="F31">
        <f t="shared" si="1"/>
        <v>277.14999999999998</v>
      </c>
      <c r="G31">
        <f t="shared" si="2"/>
        <v>0.66670646965666724</v>
      </c>
      <c r="H31">
        <f t="shared" si="3"/>
        <v>0.28528686229843175</v>
      </c>
    </row>
    <row r="32" spans="1:20" x14ac:dyDescent="0.3">
      <c r="A32">
        <v>3100</v>
      </c>
      <c r="B32">
        <v>703.50333333333299</v>
      </c>
      <c r="C32">
        <v>2.7878333333333298</v>
      </c>
      <c r="D32">
        <f t="shared" si="0"/>
        <v>2.7513775803931209E-3</v>
      </c>
      <c r="E32">
        <v>3.5</v>
      </c>
      <c r="F32">
        <f t="shared" si="1"/>
        <v>276.64999999999998</v>
      </c>
      <c r="G32">
        <f t="shared" si="2"/>
        <v>0.65775752479697958</v>
      </c>
      <c r="H32">
        <f t="shared" si="3"/>
        <v>0.27165688996362947</v>
      </c>
    </row>
    <row r="33" spans="1:8" x14ac:dyDescent="0.3">
      <c r="A33">
        <v>3200</v>
      </c>
      <c r="B33">
        <v>694.87</v>
      </c>
      <c r="C33">
        <v>2.718</v>
      </c>
      <c r="D33">
        <f t="shared" si="0"/>
        <v>2.6824574389341231E-3</v>
      </c>
      <c r="E33">
        <v>2.8</v>
      </c>
      <c r="F33">
        <f t="shared" si="1"/>
        <v>275.95</v>
      </c>
      <c r="G33">
        <f t="shared" si="2"/>
        <v>0.64892869818684618</v>
      </c>
      <c r="H33">
        <f t="shared" si="3"/>
        <v>0.26552391717516055</v>
      </c>
    </row>
    <row r="34" spans="1:8" x14ac:dyDescent="0.3">
      <c r="A34">
        <v>3300</v>
      </c>
      <c r="B34">
        <v>686.368333333333</v>
      </c>
      <c r="C34">
        <v>2.6986666666666599</v>
      </c>
      <c r="D34">
        <f t="shared" si="0"/>
        <v>2.6633769224442732E-3</v>
      </c>
      <c r="E34">
        <v>2.2999999999999998</v>
      </c>
      <c r="F34">
        <f t="shared" si="1"/>
        <v>275.45</v>
      </c>
      <c r="G34">
        <f t="shared" si="2"/>
        <v>0.64021837752514099</v>
      </c>
      <c r="H34">
        <f t="shared" si="3"/>
        <v>0.26411377976607486</v>
      </c>
    </row>
    <row r="35" spans="1:8" x14ac:dyDescent="0.3">
      <c r="A35">
        <v>3400</v>
      </c>
      <c r="B35">
        <v>677.86</v>
      </c>
      <c r="C35">
        <v>2.5884</v>
      </c>
      <c r="D35">
        <f t="shared" si="0"/>
        <v>2.5545521835677277E-3</v>
      </c>
      <c r="E35">
        <v>1.6</v>
      </c>
      <c r="F35">
        <f t="shared" si="1"/>
        <v>274.75</v>
      </c>
      <c r="G35">
        <f t="shared" si="2"/>
        <v>0.6316249721520365</v>
      </c>
      <c r="H35">
        <f t="shared" si="3"/>
        <v>0.25396758105242029</v>
      </c>
    </row>
    <row r="36" spans="1:8" x14ac:dyDescent="0.3">
      <c r="A36">
        <v>3500</v>
      </c>
      <c r="B36">
        <v>669.47199999999998</v>
      </c>
      <c r="C36">
        <v>2.5678000000000001</v>
      </c>
      <c r="D36">
        <f t="shared" si="0"/>
        <v>2.5342215642733777E-3</v>
      </c>
      <c r="E36">
        <v>1</v>
      </c>
      <c r="F36">
        <f t="shared" si="1"/>
        <v>274.14999999999998</v>
      </c>
      <c r="G36">
        <f t="shared" si="2"/>
        <v>0.62314691275852085</v>
      </c>
      <c r="H36">
        <f t="shared" si="3"/>
        <v>0.25249776410040964</v>
      </c>
    </row>
    <row r="37" spans="1:8" x14ac:dyDescent="0.3">
      <c r="A37">
        <v>3600</v>
      </c>
      <c r="B37">
        <v>661.10599999999999</v>
      </c>
      <c r="C37">
        <v>2.5649999999999999</v>
      </c>
      <c r="D37">
        <f t="shared" si="0"/>
        <v>2.5314581791265728E-3</v>
      </c>
      <c r="E37">
        <v>0.32</v>
      </c>
      <c r="F37">
        <f t="shared" si="1"/>
        <v>273.46999999999997</v>
      </c>
      <c r="G37">
        <f t="shared" si="2"/>
        <v>0.61478265109981467</v>
      </c>
      <c r="H37">
        <f t="shared" si="3"/>
        <v>0.25284960018591562</v>
      </c>
    </row>
    <row r="38" spans="1:8" x14ac:dyDescent="0.3">
      <c r="A38">
        <v>3700</v>
      </c>
      <c r="B38">
        <v>652.9</v>
      </c>
      <c r="C38">
        <v>2.5649999999999999</v>
      </c>
      <c r="D38">
        <f t="shared" si="0"/>
        <v>2.5314581791265728E-3</v>
      </c>
      <c r="E38">
        <v>-0.2</v>
      </c>
      <c r="F38">
        <f t="shared" si="1"/>
        <v>272.95</v>
      </c>
      <c r="G38">
        <f t="shared" si="2"/>
        <v>0.60653065971263342</v>
      </c>
      <c r="H38">
        <f t="shared" si="3"/>
        <v>0.25333130669661968</v>
      </c>
    </row>
    <row r="39" spans="1:8" x14ac:dyDescent="0.3">
      <c r="A39">
        <v>3800</v>
      </c>
      <c r="B39">
        <v>644.91999999999996</v>
      </c>
      <c r="C39">
        <v>2.7330000000000001</v>
      </c>
      <c r="D39">
        <f t="shared" si="0"/>
        <v>2.6972612879348633E-3</v>
      </c>
      <c r="E39">
        <v>-0.7</v>
      </c>
      <c r="F39">
        <f t="shared" si="1"/>
        <v>272.45</v>
      </c>
      <c r="G39">
        <f t="shared" si="2"/>
        <v>0.59838943163624547</v>
      </c>
      <c r="H39">
        <f t="shared" si="3"/>
        <v>0.27041913040903204</v>
      </c>
    </row>
    <row r="40" spans="1:8" x14ac:dyDescent="0.3">
      <c r="A40">
        <v>3900</v>
      </c>
      <c r="B40">
        <v>636.83166666666602</v>
      </c>
      <c r="C40">
        <v>2.7890000000000001</v>
      </c>
      <c r="D40">
        <f t="shared" si="0"/>
        <v>2.7525289908709601E-3</v>
      </c>
      <c r="E40">
        <v>-1.38333333333333</v>
      </c>
      <c r="F40">
        <f t="shared" si="1"/>
        <v>271.76666666666665</v>
      </c>
      <c r="G40">
        <f t="shared" si="2"/>
        <v>0.5903574801372744</v>
      </c>
      <c r="H40">
        <f t="shared" si="3"/>
        <v>0.27665397786939872</v>
      </c>
    </row>
    <row r="41" spans="1:8" x14ac:dyDescent="0.3">
      <c r="A41">
        <v>4000</v>
      </c>
      <c r="B41">
        <v>628.91833333333295</v>
      </c>
      <c r="C41">
        <v>2.8056666666666601</v>
      </c>
      <c r="D41">
        <f t="shared" si="0"/>
        <v>2.7689777119828869E-3</v>
      </c>
      <c r="E41">
        <v>-2</v>
      </c>
      <c r="F41">
        <f t="shared" si="1"/>
        <v>271.14999999999998</v>
      </c>
      <c r="G41">
        <f t="shared" si="2"/>
        <v>0.58243333843819467</v>
      </c>
      <c r="H41">
        <f t="shared" si="3"/>
        <v>0.27894016670777266</v>
      </c>
    </row>
    <row r="42" spans="1:8" x14ac:dyDescent="0.3">
      <c r="A42">
        <v>4100</v>
      </c>
      <c r="B42">
        <v>621.12</v>
      </c>
      <c r="C42">
        <v>2.8215714285714202</v>
      </c>
      <c r="D42">
        <f t="shared" si="0"/>
        <v>2.7846744915582733E-3</v>
      </c>
      <c r="E42">
        <v>-2.8714285714285701</v>
      </c>
      <c r="F42">
        <f t="shared" si="1"/>
        <v>270.27857142857141</v>
      </c>
      <c r="G42">
        <f t="shared" si="2"/>
        <v>0.57461555944947229</v>
      </c>
      <c r="H42">
        <f t="shared" si="3"/>
        <v>0.28142587603181879</v>
      </c>
    </row>
    <row r="43" spans="1:8" x14ac:dyDescent="0.3">
      <c r="A43">
        <v>4200</v>
      </c>
      <c r="B43">
        <v>613.20499999999902</v>
      </c>
      <c r="C43">
        <v>2.8159999999999998</v>
      </c>
      <c r="D43">
        <f t="shared" si="0"/>
        <v>2.7791759190722918E-3</v>
      </c>
      <c r="E43">
        <v>-3.45</v>
      </c>
      <c r="F43">
        <f t="shared" si="1"/>
        <v>269.7</v>
      </c>
      <c r="G43">
        <f t="shared" si="2"/>
        <v>0.56690271550529991</v>
      </c>
      <c r="H43">
        <f t="shared" si="3"/>
        <v>0.28147271126977991</v>
      </c>
    </row>
    <row r="44" spans="1:8" x14ac:dyDescent="0.3">
      <c r="A44">
        <v>4300</v>
      </c>
      <c r="B44">
        <v>605.6</v>
      </c>
      <c r="C44">
        <v>2.7896000000000001</v>
      </c>
      <c r="D44">
        <f t="shared" si="0"/>
        <v>2.7531211448309895E-3</v>
      </c>
      <c r="E44">
        <v>-3.88</v>
      </c>
      <c r="F44">
        <f t="shared" si="1"/>
        <v>269.27</v>
      </c>
      <c r="G44">
        <f t="shared" si="2"/>
        <v>0.55929339810288048</v>
      </c>
      <c r="H44">
        <f t="shared" si="3"/>
        <v>0.27927917729809659</v>
      </c>
    </row>
    <row r="45" spans="1:8" x14ac:dyDescent="0.3">
      <c r="A45">
        <v>4400</v>
      </c>
      <c r="B45">
        <v>597.97199999999998</v>
      </c>
      <c r="C45">
        <v>2.7902</v>
      </c>
      <c r="D45">
        <f t="shared" si="0"/>
        <v>2.7537132987910189E-3</v>
      </c>
      <c r="E45">
        <v>-4.82</v>
      </c>
      <c r="F45">
        <f t="shared" si="1"/>
        <v>268.33</v>
      </c>
      <c r="G45">
        <f t="shared" si="2"/>
        <v>0.55178621764520841</v>
      </c>
      <c r="H45">
        <f t="shared" si="3"/>
        <v>0.28031781297833525</v>
      </c>
    </row>
    <row r="46" spans="1:8" x14ac:dyDescent="0.3">
      <c r="A46">
        <v>4500</v>
      </c>
      <c r="B46">
        <v>590.47142857142796</v>
      </c>
      <c r="C46">
        <v>2.7392857142857099</v>
      </c>
      <c r="D46">
        <f t="shared" si="0"/>
        <v>2.7034648056113593E-3</v>
      </c>
      <c r="E46">
        <v>-5.5</v>
      </c>
      <c r="F46">
        <f t="shared" si="1"/>
        <v>267.64999999999998</v>
      </c>
      <c r="G46">
        <f t="shared" si="2"/>
        <v>0.5443798031873055</v>
      </c>
      <c r="H46">
        <f t="shared" si="3"/>
        <v>0.27590189114617703</v>
      </c>
    </row>
    <row r="47" spans="1:8" x14ac:dyDescent="0.3">
      <c r="A47">
        <v>4600</v>
      </c>
      <c r="B47">
        <v>582.91666666666595</v>
      </c>
      <c r="C47">
        <v>2.6880000000000002</v>
      </c>
      <c r="D47">
        <f t="shared" si="0"/>
        <v>2.6528497409326426E-3</v>
      </c>
      <c r="E47">
        <v>-6.5333333333333297</v>
      </c>
      <c r="F47">
        <f t="shared" si="1"/>
        <v>266.61666666666667</v>
      </c>
      <c r="G47">
        <f t="shared" si="2"/>
        <v>0.53707280218586084</v>
      </c>
      <c r="H47">
        <f t="shared" si="3"/>
        <v>0.27178567483993921</v>
      </c>
    </row>
    <row r="48" spans="1:8" x14ac:dyDescent="0.3">
      <c r="A48">
        <v>4700</v>
      </c>
      <c r="B48">
        <v>575.52</v>
      </c>
      <c r="C48">
        <v>2.7130000000000001</v>
      </c>
      <c r="D48">
        <f t="shared" si="0"/>
        <v>2.6775228226005427E-3</v>
      </c>
      <c r="E48">
        <v>-7.3</v>
      </c>
      <c r="F48">
        <f t="shared" si="1"/>
        <v>265.84999999999997</v>
      </c>
      <c r="G48">
        <f t="shared" si="2"/>
        <v>0.52986388025223363</v>
      </c>
      <c r="H48">
        <f t="shared" si="3"/>
        <v>0.27510451720644663</v>
      </c>
    </row>
    <row r="49" spans="1:8" x14ac:dyDescent="0.3">
      <c r="A49">
        <v>4800</v>
      </c>
      <c r="B49">
        <v>568.03750000000002</v>
      </c>
      <c r="C49">
        <v>2.6527499999999899</v>
      </c>
      <c r="D49">
        <f t="shared" si="0"/>
        <v>2.6180606957808931E-3</v>
      </c>
      <c r="E49">
        <v>-8</v>
      </c>
      <c r="F49">
        <f t="shared" si="1"/>
        <v>265.14999999999998</v>
      </c>
      <c r="G49">
        <f t="shared" si="2"/>
        <v>0.52275172090876831</v>
      </c>
      <c r="H49">
        <f t="shared" si="3"/>
        <v>0.26970517784369263</v>
      </c>
    </row>
    <row r="50" spans="1:8" x14ac:dyDescent="0.3">
      <c r="A50">
        <v>4900</v>
      </c>
      <c r="B50">
        <v>560.89</v>
      </c>
      <c r="C50">
        <v>2.6280000000000001</v>
      </c>
      <c r="D50">
        <f t="shared" si="0"/>
        <v>2.5936343449296816E-3</v>
      </c>
      <c r="E50">
        <v>-8.4</v>
      </c>
      <c r="F50">
        <f t="shared" si="1"/>
        <v>264.75</v>
      </c>
      <c r="G50">
        <f t="shared" si="2"/>
        <v>0.515735025348384</v>
      </c>
      <c r="H50">
        <f t="shared" si="3"/>
        <v>0.26759252929841076</v>
      </c>
    </row>
    <row r="51" spans="1:8" x14ac:dyDescent="0.3">
      <c r="A51">
        <v>5000</v>
      </c>
      <c r="B51">
        <v>553.745</v>
      </c>
      <c r="C51">
        <v>2.6659999999999999</v>
      </c>
      <c r="D51">
        <f t="shared" si="0"/>
        <v>2.6311374290648899E-3</v>
      </c>
      <c r="E51">
        <v>-9.0500000000000007</v>
      </c>
      <c r="F51">
        <f t="shared" si="1"/>
        <v>264.09999999999997</v>
      </c>
      <c r="G51">
        <f t="shared" si="2"/>
        <v>0.50881251219738821</v>
      </c>
      <c r="H51">
        <f t="shared" si="3"/>
        <v>0.27212994651612071</v>
      </c>
    </row>
    <row r="52" spans="1:8" x14ac:dyDescent="0.3">
      <c r="A52">
        <v>5100</v>
      </c>
      <c r="B52">
        <v>546.58833333333303</v>
      </c>
      <c r="C52">
        <v>2.8023333333333298</v>
      </c>
      <c r="D52">
        <f t="shared" si="0"/>
        <v>2.765687967760503E-3</v>
      </c>
      <c r="E52">
        <v>-7.5</v>
      </c>
      <c r="F52">
        <f t="shared" si="1"/>
        <v>265.64999999999998</v>
      </c>
      <c r="G52">
        <f t="shared" si="2"/>
        <v>0.50198291728147493</v>
      </c>
      <c r="H52">
        <f t="shared" si="3"/>
        <v>0.28437706320112227</v>
      </c>
    </row>
    <row r="53" spans="1:8" x14ac:dyDescent="0.3">
      <c r="A53">
        <v>5200</v>
      </c>
      <c r="B53">
        <v>539.57999999999902</v>
      </c>
      <c r="C53">
        <v>2.8919999999999999</v>
      </c>
      <c r="D53">
        <f t="shared" si="0"/>
        <v>2.8541820873427088E-3</v>
      </c>
      <c r="E53">
        <v>-7.7</v>
      </c>
      <c r="F53">
        <f t="shared" si="1"/>
        <v>265.45</v>
      </c>
      <c r="G53">
        <f t="shared" si="2"/>
        <v>0.495244993394865</v>
      </c>
      <c r="H53">
        <f t="shared" si="3"/>
        <v>0.29369743347434951</v>
      </c>
    </row>
    <row r="54" spans="1:8" x14ac:dyDescent="0.3">
      <c r="A54">
        <v>5300</v>
      </c>
      <c r="B54">
        <v>532.79</v>
      </c>
      <c r="C54">
        <v>2.9046666666666598</v>
      </c>
      <c r="D54">
        <f t="shared" si="0"/>
        <v>2.8666831153877719E-3</v>
      </c>
      <c r="E54">
        <v>-8.3000000000000007</v>
      </c>
      <c r="F54">
        <f t="shared" si="1"/>
        <v>264.84999999999997</v>
      </c>
      <c r="G54">
        <f t="shared" si="2"/>
        <v>0.48859751007254282</v>
      </c>
      <c r="H54">
        <f t="shared" si="3"/>
        <v>0.29565206455282989</v>
      </c>
    </row>
    <row r="55" spans="1:8" x14ac:dyDescent="0.3">
      <c r="A55">
        <v>5400</v>
      </c>
      <c r="B55">
        <v>525.87249999999995</v>
      </c>
      <c r="C55">
        <v>2.8807499999999999</v>
      </c>
      <c r="D55">
        <f t="shared" si="0"/>
        <v>2.8430792005921541E-3</v>
      </c>
      <c r="E55">
        <v>-9.1999999999999993</v>
      </c>
      <c r="F55">
        <f t="shared" si="1"/>
        <v>263.95</v>
      </c>
      <c r="G55">
        <f t="shared" si="2"/>
        <v>0.48203925336555214</v>
      </c>
      <c r="H55">
        <f t="shared" si="3"/>
        <v>0.29421749711753997</v>
      </c>
    </row>
    <row r="56" spans="1:8" x14ac:dyDescent="0.3">
      <c r="A56">
        <v>5500</v>
      </c>
      <c r="B56">
        <v>519.07375000000002</v>
      </c>
      <c r="C56">
        <v>2.843375</v>
      </c>
      <c r="D56">
        <f t="shared" si="0"/>
        <v>2.8061929434986428E-3</v>
      </c>
      <c r="E56">
        <v>-9.9</v>
      </c>
      <c r="F56">
        <f t="shared" si="1"/>
        <v>263.25</v>
      </c>
      <c r="G56">
        <f t="shared" si="2"/>
        <v>0.47556902561930758</v>
      </c>
      <c r="H56">
        <f t="shared" si="3"/>
        <v>0.29117249858182492</v>
      </c>
    </row>
    <row r="57" spans="1:8" x14ac:dyDescent="0.3">
      <c r="A57">
        <v>5600</v>
      </c>
      <c r="B57">
        <v>512.41499999999996</v>
      </c>
      <c r="C57">
        <v>2.79175</v>
      </c>
      <c r="D57">
        <f t="shared" si="0"/>
        <v>2.7552430298544289E-3</v>
      </c>
      <c r="E57">
        <v>-10.5</v>
      </c>
      <c r="F57">
        <f t="shared" si="1"/>
        <v>262.64999999999998</v>
      </c>
      <c r="G57">
        <f t="shared" si="2"/>
        <v>0.46918564525488093</v>
      </c>
      <c r="H57">
        <f t="shared" si="3"/>
        <v>0.28653898100313618</v>
      </c>
    </row>
    <row r="58" spans="1:8" x14ac:dyDescent="0.3">
      <c r="A58">
        <v>5700</v>
      </c>
      <c r="B58">
        <v>505.81</v>
      </c>
      <c r="C58">
        <v>2.7170000000000001</v>
      </c>
      <c r="D58">
        <f t="shared" si="0"/>
        <v>2.6814705156674068E-3</v>
      </c>
      <c r="E58">
        <v>-11.1</v>
      </c>
      <c r="F58">
        <f t="shared" si="1"/>
        <v>262.04999999999995</v>
      </c>
      <c r="G58">
        <f t="shared" si="2"/>
        <v>0.46288794655322424</v>
      </c>
      <c r="H58">
        <f t="shared" si="3"/>
        <v>0.27950531248027177</v>
      </c>
    </row>
    <row r="59" spans="1:8" x14ac:dyDescent="0.3">
      <c r="A59">
        <v>5800</v>
      </c>
      <c r="B59">
        <v>499.33</v>
      </c>
      <c r="C59">
        <v>2.79616666666666</v>
      </c>
      <c r="D59">
        <f t="shared" si="0"/>
        <v>2.7596019409490847E-3</v>
      </c>
      <c r="E59">
        <v>-11.5</v>
      </c>
      <c r="F59">
        <f t="shared" si="1"/>
        <v>261.64999999999998</v>
      </c>
      <c r="G59">
        <f t="shared" si="2"/>
        <v>0.45667477944228857</v>
      </c>
      <c r="H59">
        <f t="shared" si="3"/>
        <v>0.28808915351432923</v>
      </c>
    </row>
    <row r="60" spans="1:8" x14ac:dyDescent="0.3">
      <c r="A60">
        <v>5900</v>
      </c>
      <c r="B60">
        <v>492.68857142857098</v>
      </c>
      <c r="C60">
        <v>2.7925714285714198</v>
      </c>
      <c r="D60">
        <f t="shared" si="0"/>
        <v>2.7560537168235082E-3</v>
      </c>
      <c r="E60">
        <v>-11.8</v>
      </c>
      <c r="F60">
        <f t="shared" si="1"/>
        <v>261.34999999999997</v>
      </c>
      <c r="G60">
        <f t="shared" si="2"/>
        <v>0.45054500928700025</v>
      </c>
      <c r="H60">
        <f t="shared" si="3"/>
        <v>0.28804900430470298</v>
      </c>
    </row>
    <row r="61" spans="1:8" x14ac:dyDescent="0.3">
      <c r="A61">
        <v>6000</v>
      </c>
      <c r="B61">
        <v>486.33666666666602</v>
      </c>
      <c r="C61">
        <v>2.7233333333333301</v>
      </c>
      <c r="D61">
        <f t="shared" si="0"/>
        <v>2.6877210296899386E-3</v>
      </c>
      <c r="E61">
        <v>-12.533333333333299</v>
      </c>
      <c r="F61">
        <f t="shared" si="1"/>
        <v>260.61666666666667</v>
      </c>
      <c r="G61">
        <f t="shared" si="2"/>
        <v>0.44449751668205656</v>
      </c>
      <c r="H61">
        <f t="shared" si="3"/>
        <v>0.28169763992830082</v>
      </c>
    </row>
    <row r="62" spans="1:8" x14ac:dyDescent="0.3">
      <c r="A62">
        <v>6100</v>
      </c>
      <c r="B62">
        <v>479.96499999999997</v>
      </c>
      <c r="C62">
        <v>2.8359999999999999</v>
      </c>
      <c r="D62">
        <f t="shared" si="0"/>
        <v>2.7989143844066124E-3</v>
      </c>
      <c r="E62">
        <v>-13.25</v>
      </c>
      <c r="F62">
        <f t="shared" si="1"/>
        <v>259.89999999999998</v>
      </c>
      <c r="G62">
        <f t="shared" si="2"/>
        <v>0.43853119724750195</v>
      </c>
      <c r="H62">
        <f t="shared" si="3"/>
        <v>0.29416062489444639</v>
      </c>
    </row>
    <row r="63" spans="1:8" x14ac:dyDescent="0.3">
      <c r="A63">
        <v>6200</v>
      </c>
      <c r="B63">
        <v>473.78428571428498</v>
      </c>
      <c r="C63">
        <v>2.7595714285714199</v>
      </c>
      <c r="D63">
        <f t="shared" si="0"/>
        <v>2.7234852490218798E-3</v>
      </c>
      <c r="E63">
        <v>-13.871428571428501</v>
      </c>
      <c r="F63">
        <f t="shared" si="1"/>
        <v>259.27857142857147</v>
      </c>
      <c r="G63">
        <f t="shared" si="2"/>
        <v>0.43264496142704917</v>
      </c>
      <c r="H63">
        <f t="shared" si="3"/>
        <v>0.28691919724467801</v>
      </c>
    </row>
    <row r="64" spans="1:8" x14ac:dyDescent="0.3">
      <c r="A64">
        <v>6300</v>
      </c>
      <c r="B64">
        <v>467.48333333333301</v>
      </c>
      <c r="C64">
        <v>2.7109999999999999</v>
      </c>
      <c r="D64">
        <f t="shared" si="0"/>
        <v>2.6755489760671106E-3</v>
      </c>
      <c r="E64">
        <v>-13.8</v>
      </c>
      <c r="F64">
        <f t="shared" si="1"/>
        <v>259.34999999999997</v>
      </c>
      <c r="G64">
        <f t="shared" si="2"/>
        <v>0.42683773428910615</v>
      </c>
      <c r="H64">
        <f t="shared" si="3"/>
        <v>0.28179147978127295</v>
      </c>
    </row>
    <row r="65" spans="1:8" x14ac:dyDescent="0.3">
      <c r="A65">
        <v>6400</v>
      </c>
      <c r="B65">
        <v>461.53666666666601</v>
      </c>
      <c r="C65">
        <v>2.78266666666666</v>
      </c>
      <c r="D65">
        <f t="shared" si="0"/>
        <v>2.7462784768484184E-3</v>
      </c>
      <c r="E65">
        <v>-13.8333333333333</v>
      </c>
      <c r="F65">
        <f t="shared" si="1"/>
        <v>259.31666666666666</v>
      </c>
      <c r="G65">
        <f t="shared" si="2"/>
        <v>0.42110845533047492</v>
      </c>
      <c r="H65">
        <f t="shared" si="3"/>
        <v>0.2892779610326417</v>
      </c>
    </row>
    <row r="66" spans="1:8" x14ac:dyDescent="0.3">
      <c r="A66">
        <v>6500</v>
      </c>
      <c r="B66">
        <v>455.34799999999899</v>
      </c>
      <c r="C66">
        <v>2.6778</v>
      </c>
      <c r="D66">
        <f t="shared" si="0"/>
        <v>2.6427831236121393E-3</v>
      </c>
      <c r="E66">
        <v>-14.68</v>
      </c>
      <c r="F66">
        <f t="shared" si="1"/>
        <v>258.46999999999997</v>
      </c>
      <c r="G66">
        <f t="shared" si="2"/>
        <v>0.41545607828268466</v>
      </c>
      <c r="H66">
        <f t="shared" si="3"/>
        <v>0.2792881998741269</v>
      </c>
    </row>
    <row r="67" spans="1:8" x14ac:dyDescent="0.3">
      <c r="A67">
        <v>6600</v>
      </c>
      <c r="B67">
        <v>449.52</v>
      </c>
      <c r="C67">
        <v>2.6440000000000001</v>
      </c>
      <c r="D67">
        <f t="shared" ref="D67:D130" si="6">C67/1013.25</f>
        <v>2.6094251171971381E-3</v>
      </c>
      <c r="E67">
        <v>-15.5</v>
      </c>
      <c r="F67">
        <f t="shared" ref="F67:F130" si="7">E67+273.15</f>
        <v>257.64999999999998</v>
      </c>
      <c r="G67">
        <f t="shared" ref="G67:G130" si="8">EXP((-A67*0.001)/7.4)</f>
        <v>0.40987957092092403</v>
      </c>
      <c r="H67">
        <f t="shared" ref="H67:H130" si="9">(D67*273.15*100)/F67</f>
        <v>0.27664058636227373</v>
      </c>
    </row>
    <row r="68" spans="1:8" x14ac:dyDescent="0.3">
      <c r="A68">
        <v>6700</v>
      </c>
      <c r="B68">
        <v>443.50142857142799</v>
      </c>
      <c r="C68">
        <v>2.6240000000000001</v>
      </c>
      <c r="D68">
        <f t="shared" si="6"/>
        <v>2.589686651862818E-3</v>
      </c>
      <c r="E68">
        <v>-15.4571428571428</v>
      </c>
      <c r="F68">
        <f t="shared" si="7"/>
        <v>257.69285714285718</v>
      </c>
      <c r="G68">
        <f t="shared" si="8"/>
        <v>0.4043779148755392</v>
      </c>
      <c r="H68">
        <f t="shared" si="9"/>
        <v>0.27450233460067636</v>
      </c>
    </row>
    <row r="69" spans="1:8" x14ac:dyDescent="0.3">
      <c r="A69">
        <v>6800</v>
      </c>
      <c r="B69">
        <v>437.64666666666602</v>
      </c>
      <c r="C69">
        <v>2.633</v>
      </c>
      <c r="D69">
        <f t="shared" si="6"/>
        <v>2.5985689612632616E-3</v>
      </c>
      <c r="E69">
        <v>-15.2</v>
      </c>
      <c r="F69">
        <f t="shared" si="7"/>
        <v>257.95</v>
      </c>
      <c r="G69">
        <f t="shared" si="8"/>
        <v>0.39895010544606085</v>
      </c>
      <c r="H69">
        <f t="shared" si="9"/>
        <v>0.27516926217059889</v>
      </c>
    </row>
    <row r="70" spans="1:8" x14ac:dyDescent="0.3">
      <c r="A70">
        <v>6900</v>
      </c>
      <c r="B70">
        <v>431.83285714285699</v>
      </c>
      <c r="C70">
        <v>2.6778571428571398</v>
      </c>
      <c r="D70">
        <f t="shared" si="6"/>
        <v>2.6428395192273769E-3</v>
      </c>
      <c r="E70">
        <v>-15.4</v>
      </c>
      <c r="F70">
        <f t="shared" si="7"/>
        <v>257.75</v>
      </c>
      <c r="G70">
        <f t="shared" si="8"/>
        <v>0.39359515141772822</v>
      </c>
      <c r="H70">
        <f t="shared" si="9"/>
        <v>0.28007434129076936</v>
      </c>
    </row>
    <row r="71" spans="1:8" x14ac:dyDescent="0.3">
      <c r="A71">
        <v>7000</v>
      </c>
      <c r="B71">
        <v>426.15333333333302</v>
      </c>
      <c r="C71">
        <v>2.7570000000000001</v>
      </c>
      <c r="D71">
        <f t="shared" si="6"/>
        <v>2.7209474463360476E-3</v>
      </c>
      <c r="E71">
        <v>-15.9</v>
      </c>
      <c r="F71">
        <f t="shared" si="7"/>
        <v>257.25</v>
      </c>
      <c r="G71">
        <f t="shared" si="8"/>
        <v>0.38831207488047559</v>
      </c>
      <c r="H71">
        <f t="shared" si="9"/>
        <v>0.28891226237772255</v>
      </c>
    </row>
    <row r="72" spans="1:8" x14ac:dyDescent="0.3">
      <c r="A72">
        <v>7100</v>
      </c>
      <c r="B72">
        <v>420.62</v>
      </c>
      <c r="C72">
        <v>2.766</v>
      </c>
      <c r="D72">
        <f t="shared" si="6"/>
        <v>2.7298297557364916E-3</v>
      </c>
      <c r="E72">
        <v>-15.9</v>
      </c>
      <c r="F72">
        <f t="shared" si="7"/>
        <v>257.25</v>
      </c>
      <c r="G72">
        <f t="shared" si="8"/>
        <v>0.38309991105034835</v>
      </c>
      <c r="H72">
        <f t="shared" si="9"/>
        <v>0.28985539272280764</v>
      </c>
    </row>
    <row r="73" spans="1:8" x14ac:dyDescent="0.3">
      <c r="A73">
        <v>7200</v>
      </c>
      <c r="B73">
        <v>414.99</v>
      </c>
      <c r="C73">
        <v>2.8149999999999999</v>
      </c>
      <c r="D73">
        <f t="shared" si="6"/>
        <v>2.778188995805576E-3</v>
      </c>
      <c r="E73">
        <v>-16.5</v>
      </c>
      <c r="F73">
        <f t="shared" si="7"/>
        <v>256.64999999999998</v>
      </c>
      <c r="G73">
        <f t="shared" si="8"/>
        <v>0.37795770809331652</v>
      </c>
      <c r="H73">
        <f t="shared" si="9"/>
        <v>0.29567984578386636</v>
      </c>
    </row>
    <row r="74" spans="1:8" x14ac:dyDescent="0.3">
      <c r="A74">
        <v>7300</v>
      </c>
      <c r="B74">
        <v>409.53666666666601</v>
      </c>
      <c r="C74">
        <v>2.8879999999999999</v>
      </c>
      <c r="D74">
        <f t="shared" si="6"/>
        <v>2.8502343942758451E-3</v>
      </c>
      <c r="E74">
        <v>-16.899999999999999</v>
      </c>
      <c r="F74">
        <f t="shared" si="7"/>
        <v>256.25</v>
      </c>
      <c r="G74">
        <f t="shared" si="8"/>
        <v>0.37288452695145236</v>
      </c>
      <c r="H74">
        <f t="shared" si="9"/>
        <v>0.30382108284739395</v>
      </c>
    </row>
    <row r="75" spans="1:8" x14ac:dyDescent="0.3">
      <c r="A75">
        <v>7400</v>
      </c>
      <c r="B75">
        <v>404.12599999999998</v>
      </c>
      <c r="C75">
        <v>2.8620000000000001</v>
      </c>
      <c r="D75">
        <f t="shared" si="6"/>
        <v>2.8245743893412288E-3</v>
      </c>
      <c r="E75">
        <v>-17.66</v>
      </c>
      <c r="F75">
        <f t="shared" si="7"/>
        <v>255.48999999999998</v>
      </c>
      <c r="G75">
        <f t="shared" si="8"/>
        <v>0.36787944117144233</v>
      </c>
      <c r="H75">
        <f t="shared" si="9"/>
        <v>0.30198148438238548</v>
      </c>
    </row>
    <row r="76" spans="1:8" x14ac:dyDescent="0.3">
      <c r="A76">
        <v>7500</v>
      </c>
      <c r="B76">
        <v>398.71333333333303</v>
      </c>
      <c r="C76">
        <v>2.85177777777777</v>
      </c>
      <c r="D76">
        <f t="shared" si="6"/>
        <v>2.8144858403925683E-3</v>
      </c>
      <c r="E76">
        <v>-18.7</v>
      </c>
      <c r="F76">
        <f t="shared" si="7"/>
        <v>254.45</v>
      </c>
      <c r="G76">
        <f t="shared" si="8"/>
        <v>0.36294153673539981</v>
      </c>
      <c r="H76">
        <f t="shared" si="9"/>
        <v>0.30213275979690701</v>
      </c>
    </row>
    <row r="77" spans="1:8" x14ac:dyDescent="0.3">
      <c r="A77">
        <v>7600</v>
      </c>
      <c r="B77">
        <v>393.31</v>
      </c>
      <c r="C77">
        <v>2.7679999999999998</v>
      </c>
      <c r="D77">
        <f t="shared" si="6"/>
        <v>2.7318036022699233E-3</v>
      </c>
      <c r="E77">
        <v>-19.7</v>
      </c>
      <c r="F77">
        <f t="shared" si="7"/>
        <v>253.45</v>
      </c>
      <c r="G77">
        <f t="shared" si="8"/>
        <v>0.35806991189394893</v>
      </c>
      <c r="H77">
        <f t="shared" si="9"/>
        <v>0.2944139490866165</v>
      </c>
    </row>
    <row r="78" spans="1:8" x14ac:dyDescent="0.3">
      <c r="A78">
        <v>7700</v>
      </c>
      <c r="B78">
        <v>388.12</v>
      </c>
      <c r="C78">
        <v>2.7530000000000001</v>
      </c>
      <c r="D78">
        <f t="shared" si="6"/>
        <v>2.7169997532691835E-3</v>
      </c>
      <c r="E78">
        <v>-20.5</v>
      </c>
      <c r="F78">
        <f t="shared" si="7"/>
        <v>252.64999999999998</v>
      </c>
      <c r="G78">
        <f t="shared" si="8"/>
        <v>0.3532636770015497</v>
      </c>
      <c r="H78">
        <f t="shared" si="9"/>
        <v>0.29374568874153079</v>
      </c>
    </row>
    <row r="79" spans="1:8" x14ac:dyDescent="0.3">
      <c r="A79">
        <v>7800</v>
      </c>
      <c r="B79">
        <v>383</v>
      </c>
      <c r="C79">
        <v>2.68</v>
      </c>
      <c r="D79">
        <f t="shared" si="6"/>
        <v>2.6449543547989143E-3</v>
      </c>
      <c r="E79">
        <v>-21.4</v>
      </c>
      <c r="F79">
        <f t="shared" si="7"/>
        <v>251.74999999999997</v>
      </c>
      <c r="G79">
        <f t="shared" si="8"/>
        <v>0.34852195435403233</v>
      </c>
      <c r="H79">
        <f t="shared" si="9"/>
        <v>0.28697886077987028</v>
      </c>
    </row>
    <row r="80" spans="1:8" x14ac:dyDescent="0.3">
      <c r="A80">
        <v>7900</v>
      </c>
      <c r="B80">
        <v>377.67714285714197</v>
      </c>
      <c r="C80">
        <v>2.7210000000000001</v>
      </c>
      <c r="D80">
        <f t="shared" si="6"/>
        <v>2.6854182087342709E-3</v>
      </c>
      <c r="E80">
        <v>-22.1</v>
      </c>
      <c r="F80">
        <f t="shared" si="7"/>
        <v>251.04999999999998</v>
      </c>
      <c r="G80">
        <f t="shared" si="8"/>
        <v>0.3438438780283129</v>
      </c>
      <c r="H80">
        <f t="shared" si="9"/>
        <v>0.29218163063762842</v>
      </c>
    </row>
    <row r="81" spans="1:8" x14ac:dyDescent="0.3">
      <c r="A81">
        <v>8000</v>
      </c>
      <c r="B81">
        <v>372.70666666666602</v>
      </c>
      <c r="C81">
        <v>2.6956666666666602</v>
      </c>
      <c r="D81">
        <f t="shared" si="6"/>
        <v>2.6604161526441257E-3</v>
      </c>
      <c r="E81">
        <v>-22.783333333333299</v>
      </c>
      <c r="F81">
        <f t="shared" si="7"/>
        <v>250.36666666666667</v>
      </c>
      <c r="G81">
        <f t="shared" si="8"/>
        <v>0.33922859372426062</v>
      </c>
      <c r="H81">
        <f t="shared" si="9"/>
        <v>0.2902513668332084</v>
      </c>
    </row>
    <row r="82" spans="1:8" x14ac:dyDescent="0.3">
      <c r="A82">
        <v>8100</v>
      </c>
      <c r="B82">
        <v>367.574285714285</v>
      </c>
      <c r="C82">
        <v>2.7082857142857102</v>
      </c>
      <c r="D82">
        <f t="shared" si="6"/>
        <v>2.6728701843431631E-3</v>
      </c>
      <c r="E82">
        <v>-23.3</v>
      </c>
      <c r="F82">
        <f t="shared" si="7"/>
        <v>249.84999999999997</v>
      </c>
      <c r="G82">
        <f t="shared" si="8"/>
        <v>0.33467525860868702</v>
      </c>
      <c r="H82">
        <f t="shared" si="9"/>
        <v>0.29221312421586348</v>
      </c>
    </row>
    <row r="83" spans="1:8" x14ac:dyDescent="0.3">
      <c r="A83">
        <v>8200</v>
      </c>
      <c r="B83">
        <v>362.52</v>
      </c>
      <c r="C83">
        <v>2.6890000000000001</v>
      </c>
      <c r="D83">
        <f t="shared" si="6"/>
        <v>2.6538366641993584E-3</v>
      </c>
      <c r="E83">
        <v>-23.7</v>
      </c>
      <c r="F83">
        <f t="shared" si="7"/>
        <v>249.45</v>
      </c>
      <c r="G83">
        <f t="shared" si="8"/>
        <v>0.33018304116142999</v>
      </c>
      <c r="H83">
        <f t="shared" si="9"/>
        <v>0.29059750844900972</v>
      </c>
    </row>
    <row r="84" spans="1:8" x14ac:dyDescent="0.3">
      <c r="A84">
        <v>8300</v>
      </c>
      <c r="B84">
        <v>357.64499999999998</v>
      </c>
      <c r="C84">
        <v>2.6930000000000001</v>
      </c>
      <c r="D84">
        <f t="shared" si="6"/>
        <v>2.6577843572662225E-3</v>
      </c>
      <c r="E84">
        <v>-24.483333333333299</v>
      </c>
      <c r="F84">
        <f t="shared" si="7"/>
        <v>248.66666666666669</v>
      </c>
      <c r="G84">
        <f t="shared" si="8"/>
        <v>0.32575112102350284</v>
      </c>
      <c r="H84">
        <f t="shared" si="9"/>
        <v>0.291946567233486</v>
      </c>
    </row>
    <row r="85" spans="1:8" x14ac:dyDescent="0.3">
      <c r="A85">
        <v>8400</v>
      </c>
      <c r="B85">
        <v>352.73333333333301</v>
      </c>
      <c r="C85">
        <v>2.698</v>
      </c>
      <c r="D85">
        <f t="shared" si="6"/>
        <v>2.6627189735998025E-3</v>
      </c>
      <c r="E85">
        <v>-25.4</v>
      </c>
      <c r="F85">
        <f t="shared" si="7"/>
        <v>247.74999999999997</v>
      </c>
      <c r="G85">
        <f t="shared" si="8"/>
        <v>0.32137868884728304</v>
      </c>
      <c r="H85">
        <f t="shared" si="9"/>
        <v>0.29357081236681581</v>
      </c>
    </row>
    <row r="86" spans="1:8" x14ac:dyDescent="0.3">
      <c r="A86">
        <v>8500</v>
      </c>
      <c r="B86">
        <v>347.93</v>
      </c>
      <c r="C86">
        <v>2.57</v>
      </c>
      <c r="D86">
        <f t="shared" si="6"/>
        <v>2.5363927954601528E-3</v>
      </c>
      <c r="E86">
        <v>-26.18</v>
      </c>
      <c r="F86">
        <f t="shared" si="7"/>
        <v>246.96999999999997</v>
      </c>
      <c r="G86">
        <f t="shared" si="8"/>
        <v>0.31706494614870967</v>
      </c>
      <c r="H86">
        <f t="shared" si="9"/>
        <v>0.28052625504309864</v>
      </c>
    </row>
    <row r="87" spans="1:8" x14ac:dyDescent="0.3">
      <c r="A87">
        <v>8600</v>
      </c>
      <c r="B87">
        <v>343.171999999999</v>
      </c>
      <c r="C87">
        <v>2.4653999999999998</v>
      </c>
      <c r="D87">
        <f t="shared" si="6"/>
        <v>2.433160621761658E-3</v>
      </c>
      <c r="E87">
        <v>-26.9</v>
      </c>
      <c r="F87">
        <f t="shared" si="7"/>
        <v>246.24999999999997</v>
      </c>
      <c r="G87">
        <f t="shared" si="8"/>
        <v>0.31280910516146715</v>
      </c>
      <c r="H87">
        <f t="shared" si="9"/>
        <v>0.26989556297835404</v>
      </c>
    </row>
    <row r="88" spans="1:8" x14ac:dyDescent="0.3">
      <c r="A88">
        <v>8700</v>
      </c>
      <c r="B88">
        <v>338.47874999999999</v>
      </c>
      <c r="C88">
        <v>2.3438750000000002</v>
      </c>
      <c r="D88">
        <f t="shared" si="6"/>
        <v>2.3132247717739945E-3</v>
      </c>
      <c r="E88">
        <v>-27.6</v>
      </c>
      <c r="F88">
        <f t="shared" si="7"/>
        <v>245.54999999999998</v>
      </c>
      <c r="G88">
        <f t="shared" si="8"/>
        <v>0.30861038869312418</v>
      </c>
      <c r="H88">
        <f t="shared" si="9"/>
        <v>0.25732329318267833</v>
      </c>
    </row>
    <row r="89" spans="1:8" x14ac:dyDescent="0.3">
      <c r="A89">
        <v>8800</v>
      </c>
      <c r="B89">
        <v>333.79</v>
      </c>
      <c r="C89">
        <v>2.125</v>
      </c>
      <c r="D89">
        <f t="shared" si="6"/>
        <v>2.0972119417715274E-3</v>
      </c>
      <c r="E89">
        <v>-28</v>
      </c>
      <c r="F89">
        <f t="shared" si="7"/>
        <v>245.14999999999998</v>
      </c>
      <c r="G89">
        <f t="shared" si="8"/>
        <v>0.30446802998320532</v>
      </c>
      <c r="H89">
        <f t="shared" si="9"/>
        <v>0.23367466526408023</v>
      </c>
    </row>
    <row r="90" spans="1:8" x14ac:dyDescent="0.3">
      <c r="A90">
        <v>8900</v>
      </c>
      <c r="B90">
        <v>329.13</v>
      </c>
      <c r="C90">
        <v>1.7809999999999999</v>
      </c>
      <c r="D90">
        <f t="shared" si="6"/>
        <v>1.7577103380212189E-3</v>
      </c>
      <c r="E90">
        <v>-28.6</v>
      </c>
      <c r="F90">
        <f t="shared" si="7"/>
        <v>244.54999999999998</v>
      </c>
      <c r="G90">
        <f t="shared" si="8"/>
        <v>0.30038127256316627</v>
      </c>
      <c r="H90">
        <f t="shared" si="9"/>
        <v>0.19632736815804375</v>
      </c>
    </row>
    <row r="91" spans="1:8" x14ac:dyDescent="0.3">
      <c r="A91">
        <v>9000</v>
      </c>
      <c r="B91">
        <v>324.59249999999997</v>
      </c>
      <c r="C91">
        <v>1.5762499999999999</v>
      </c>
      <c r="D91">
        <f t="shared" si="6"/>
        <v>1.5556377991611152E-3</v>
      </c>
      <c r="E91">
        <v>-29.375</v>
      </c>
      <c r="F91">
        <f t="shared" si="7"/>
        <v>243.77499999999998</v>
      </c>
      <c r="G91">
        <f t="shared" si="8"/>
        <v>0.29634937011824941</v>
      </c>
      <c r="H91">
        <f t="shared" si="9"/>
        <v>0.17430928718730743</v>
      </c>
    </row>
    <row r="92" spans="1:8" x14ac:dyDescent="0.3">
      <c r="A92">
        <v>9100</v>
      </c>
      <c r="B92">
        <v>320.01</v>
      </c>
      <c r="C92">
        <v>1.4330000000000001</v>
      </c>
      <c r="D92">
        <f t="shared" si="6"/>
        <v>1.4142610412040465E-3</v>
      </c>
      <c r="E92">
        <v>-30.2</v>
      </c>
      <c r="F92">
        <f t="shared" si="7"/>
        <v>242.95</v>
      </c>
      <c r="G92">
        <f t="shared" si="8"/>
        <v>0.29237158635119365</v>
      </c>
      <c r="H92">
        <f t="shared" si="9"/>
        <v>0.15900613435064223</v>
      </c>
    </row>
    <row r="93" spans="1:8" x14ac:dyDescent="0.3">
      <c r="A93">
        <v>9200</v>
      </c>
      <c r="B93">
        <v>315.53333333333302</v>
      </c>
      <c r="C93">
        <v>1.38333333333333</v>
      </c>
      <c r="D93">
        <f t="shared" si="6"/>
        <v>1.3652438522904812E-3</v>
      </c>
      <c r="E93">
        <v>-31</v>
      </c>
      <c r="F93">
        <f t="shared" si="7"/>
        <v>242.14999999999998</v>
      </c>
      <c r="G93">
        <f t="shared" si="8"/>
        <v>0.28844719484777281</v>
      </c>
      <c r="H93">
        <f t="shared" si="9"/>
        <v>0.15400221278263262</v>
      </c>
    </row>
    <row r="94" spans="1:8" x14ac:dyDescent="0.3">
      <c r="A94">
        <v>9300</v>
      </c>
      <c r="B94">
        <v>311.046666666666</v>
      </c>
      <c r="C94">
        <v>1.345</v>
      </c>
      <c r="D94">
        <f t="shared" si="6"/>
        <v>1.3274117937330373E-3</v>
      </c>
      <c r="E94">
        <v>-32.033333333333303</v>
      </c>
      <c r="F94">
        <f t="shared" si="7"/>
        <v>241.11666666666667</v>
      </c>
      <c r="G94">
        <f t="shared" si="8"/>
        <v>0.28457547894414054</v>
      </c>
      <c r="H94">
        <f t="shared" si="9"/>
        <v>0.15037638686314195</v>
      </c>
    </row>
    <row r="95" spans="1:8" x14ac:dyDescent="0.3">
      <c r="A95">
        <v>9400</v>
      </c>
      <c r="B95">
        <v>306.762</v>
      </c>
      <c r="C95">
        <v>1.2738</v>
      </c>
      <c r="D95">
        <f t="shared" si="6"/>
        <v>1.2571428571428573E-3</v>
      </c>
      <c r="E95">
        <v>-32.879999999999903</v>
      </c>
      <c r="F95">
        <f t="shared" si="7"/>
        <v>240.27000000000007</v>
      </c>
      <c r="G95">
        <f t="shared" si="8"/>
        <v>0.28075573159595335</v>
      </c>
      <c r="H95">
        <f t="shared" si="9"/>
        <v>0.14291778891604084</v>
      </c>
    </row>
    <row r="96" spans="1:8" x14ac:dyDescent="0.3">
      <c r="A96">
        <v>9500</v>
      </c>
      <c r="B96">
        <v>302.45125000000002</v>
      </c>
      <c r="C96">
        <v>1.2822499999999999</v>
      </c>
      <c r="D96">
        <f t="shared" si="6"/>
        <v>1.2654823587466074E-3</v>
      </c>
      <c r="E96">
        <v>-33.4</v>
      </c>
      <c r="F96">
        <f t="shared" si="7"/>
        <v>239.74999999999997</v>
      </c>
      <c r="G96">
        <f t="shared" si="8"/>
        <v>0.27698725524925266</v>
      </c>
      <c r="H96">
        <f t="shared" si="9"/>
        <v>0.14417789626345601</v>
      </c>
    </row>
    <row r="97" spans="1:8" x14ac:dyDescent="0.3">
      <c r="A97">
        <v>9600</v>
      </c>
      <c r="B97">
        <v>298.09500000000003</v>
      </c>
      <c r="C97">
        <v>1.4275</v>
      </c>
      <c r="D97">
        <f t="shared" si="6"/>
        <v>1.4088329632371084E-3</v>
      </c>
      <c r="E97">
        <v>-34.200000000000003</v>
      </c>
      <c r="F97">
        <f t="shared" si="7"/>
        <v>238.95</v>
      </c>
      <c r="G97">
        <f t="shared" si="8"/>
        <v>0.27326936171307886</v>
      </c>
      <c r="H97">
        <f t="shared" si="9"/>
        <v>0.16104738393313084</v>
      </c>
    </row>
    <row r="98" spans="1:8" x14ac:dyDescent="0.3">
      <c r="A98">
        <v>9700</v>
      </c>
      <c r="B98">
        <v>293.84285714285699</v>
      </c>
      <c r="C98">
        <v>1.5991428571428501</v>
      </c>
      <c r="D98">
        <f t="shared" si="6"/>
        <v>1.5782312925169998E-3</v>
      </c>
      <c r="E98">
        <v>-34.6</v>
      </c>
      <c r="F98">
        <f t="shared" si="7"/>
        <v>238.54999999999998</v>
      </c>
      <c r="G98">
        <f t="shared" si="8"/>
        <v>0.26960137203379497</v>
      </c>
      <c r="H98">
        <f t="shared" si="9"/>
        <v>0.18071426432656404</v>
      </c>
    </row>
    <row r="99" spans="1:8" x14ac:dyDescent="0.3">
      <c r="A99">
        <v>9800</v>
      </c>
      <c r="B99">
        <v>289.65285714285699</v>
      </c>
      <c r="C99">
        <v>1.62585714285714</v>
      </c>
      <c r="D99">
        <f t="shared" si="6"/>
        <v>1.6045962426421317E-3</v>
      </c>
      <c r="E99">
        <v>-34.799999999999997</v>
      </c>
      <c r="F99">
        <f t="shared" si="7"/>
        <v>238.34999999999997</v>
      </c>
      <c r="G99">
        <f t="shared" si="8"/>
        <v>0.26598261637109832</v>
      </c>
      <c r="H99">
        <f t="shared" si="9"/>
        <v>0.18388733529586671</v>
      </c>
    </row>
    <row r="100" spans="1:8" x14ac:dyDescent="0.3">
      <c r="A100">
        <v>9900</v>
      </c>
      <c r="B100">
        <v>285.54000000000002</v>
      </c>
      <c r="C100">
        <v>1.5620000000000001</v>
      </c>
      <c r="D100">
        <f t="shared" si="6"/>
        <v>1.5415741426104122E-3</v>
      </c>
      <c r="E100">
        <v>-35.700000000000003</v>
      </c>
      <c r="F100">
        <f t="shared" si="7"/>
        <v>237.45</v>
      </c>
      <c r="G100">
        <f t="shared" si="8"/>
        <v>0.26241243387569496</v>
      </c>
      <c r="H100">
        <f t="shared" si="9"/>
        <v>0.1773345870937183</v>
      </c>
    </row>
    <row r="101" spans="1:8" x14ac:dyDescent="0.3">
      <c r="A101">
        <v>10000</v>
      </c>
      <c r="B101">
        <v>281.46857142857101</v>
      </c>
      <c r="C101">
        <v>1.5009999999999999</v>
      </c>
      <c r="D101">
        <f t="shared" si="6"/>
        <v>1.4813718233407352E-3</v>
      </c>
      <c r="E101">
        <v>-36.685714285714198</v>
      </c>
      <c r="F101">
        <f t="shared" si="7"/>
        <v>236.46428571428578</v>
      </c>
      <c r="G101">
        <f t="shared" si="8"/>
        <v>0.25889017256861729</v>
      </c>
      <c r="H101">
        <f t="shared" si="9"/>
        <v>0.17111958887289844</v>
      </c>
    </row>
    <row r="102" spans="1:8" x14ac:dyDescent="0.3">
      <c r="A102">
        <v>10100</v>
      </c>
      <c r="B102">
        <v>277.44222222222197</v>
      </c>
      <c r="C102">
        <v>1.40088888888888</v>
      </c>
      <c r="D102">
        <f t="shared" si="6"/>
        <v>1.3825698385283791E-3</v>
      </c>
      <c r="E102">
        <v>-37.677777777777699</v>
      </c>
      <c r="F102">
        <f t="shared" si="7"/>
        <v>235.47222222222229</v>
      </c>
      <c r="G102">
        <f t="shared" si="8"/>
        <v>0.25541518922216105</v>
      </c>
      <c r="H102">
        <f t="shared" si="9"/>
        <v>0.16037940604205447</v>
      </c>
    </row>
    <row r="103" spans="1:8" x14ac:dyDescent="0.3">
      <c r="A103">
        <v>10200</v>
      </c>
      <c r="B103">
        <v>273.41714285714198</v>
      </c>
      <c r="C103">
        <v>1.29342857142857</v>
      </c>
      <c r="D103">
        <f t="shared" si="6"/>
        <v>1.2765147509781101E-3</v>
      </c>
      <c r="E103">
        <v>-38.528571428571396</v>
      </c>
      <c r="F103">
        <f t="shared" si="7"/>
        <v>234.62142857142857</v>
      </c>
      <c r="G103">
        <f t="shared" si="8"/>
        <v>0.25198684924242015</v>
      </c>
      <c r="H103">
        <f t="shared" si="9"/>
        <v>0.14861387826027916</v>
      </c>
    </row>
    <row r="104" spans="1:8" x14ac:dyDescent="0.3">
      <c r="A104">
        <v>10300</v>
      </c>
      <c r="B104">
        <v>269.49</v>
      </c>
      <c r="C104">
        <v>1.286</v>
      </c>
      <c r="D104">
        <f t="shared" si="6"/>
        <v>1.2691833209967926E-3</v>
      </c>
      <c r="E104">
        <v>-39.200000000000003</v>
      </c>
      <c r="F104">
        <f t="shared" si="7"/>
        <v>233.95</v>
      </c>
      <c r="G104">
        <f t="shared" si="8"/>
        <v>0.24860452655339918</v>
      </c>
      <c r="H104">
        <f t="shared" si="9"/>
        <v>0.14818440869000807</v>
      </c>
    </row>
    <row r="105" spans="1:8" x14ac:dyDescent="0.3">
      <c r="A105">
        <v>10400</v>
      </c>
      <c r="B105">
        <v>265.5</v>
      </c>
      <c r="C105">
        <v>1.302</v>
      </c>
      <c r="D105">
        <f t="shared" si="6"/>
        <v>1.2849740932642487E-3</v>
      </c>
      <c r="E105">
        <v>-39.799999999999997</v>
      </c>
      <c r="F105">
        <f t="shared" si="7"/>
        <v>233.34999999999997</v>
      </c>
      <c r="G105">
        <f t="shared" si="8"/>
        <v>0.24526760348267987</v>
      </c>
      <c r="H105">
        <f t="shared" si="9"/>
        <v>0.15041383054430235</v>
      </c>
    </row>
    <row r="106" spans="1:8" x14ac:dyDescent="0.3">
      <c r="A106">
        <v>10500</v>
      </c>
      <c r="B106">
        <v>261.72000000000003</v>
      </c>
      <c r="C106">
        <v>1.3420000000000001</v>
      </c>
      <c r="D106">
        <f t="shared" si="6"/>
        <v>1.3244510239328892E-3</v>
      </c>
      <c r="E106">
        <v>-40.549999999999997</v>
      </c>
      <c r="F106">
        <f t="shared" si="7"/>
        <v>232.59999999999997</v>
      </c>
      <c r="G106">
        <f t="shared" si="8"/>
        <v>0.24197547064862396</v>
      </c>
      <c r="H106">
        <f t="shared" si="9"/>
        <v>0.15553473653794872</v>
      </c>
    </row>
    <row r="107" spans="1:8" x14ac:dyDescent="0.3">
      <c r="A107">
        <v>10600</v>
      </c>
      <c r="B107">
        <v>257.83833333333303</v>
      </c>
      <c r="C107">
        <v>1.4635</v>
      </c>
      <c r="D107">
        <f t="shared" si="6"/>
        <v>1.4443622008388848E-3</v>
      </c>
      <c r="E107">
        <v>-41</v>
      </c>
      <c r="F107">
        <f t="shared" si="7"/>
        <v>232.14999999999998</v>
      </c>
      <c r="G107">
        <f t="shared" si="8"/>
        <v>0.2387275268490886</v>
      </c>
      <c r="H107">
        <f t="shared" si="9"/>
        <v>0.16994509375797603</v>
      </c>
    </row>
    <row r="108" spans="1:8" x14ac:dyDescent="0.3">
      <c r="A108">
        <v>10700</v>
      </c>
      <c r="B108">
        <v>254.09666666666601</v>
      </c>
      <c r="C108">
        <v>1.84683333333333</v>
      </c>
      <c r="D108">
        <f t="shared" si="6"/>
        <v>1.822682786413353E-3</v>
      </c>
      <c r="E108">
        <v>-41.616666666666603</v>
      </c>
      <c r="F108">
        <f t="shared" si="7"/>
        <v>231.53333333333336</v>
      </c>
      <c r="G108">
        <f t="shared" si="8"/>
        <v>0.23552317895163635</v>
      </c>
      <c r="H108">
        <f t="shared" si="9"/>
        <v>0.21502986025430779</v>
      </c>
    </row>
    <row r="109" spans="1:8" x14ac:dyDescent="0.3">
      <c r="A109">
        <v>10800</v>
      </c>
      <c r="B109">
        <v>250.3</v>
      </c>
      <c r="C109">
        <v>2.1379999999999999</v>
      </c>
      <c r="D109">
        <f t="shared" si="6"/>
        <v>2.1100419442388351E-3</v>
      </c>
      <c r="E109">
        <v>-42.55</v>
      </c>
      <c r="F109">
        <f t="shared" si="7"/>
        <v>230.59999999999997</v>
      </c>
      <c r="G109">
        <f t="shared" si="8"/>
        <v>0.23236184178521899</v>
      </c>
      <c r="H109">
        <f t="shared" si="9"/>
        <v>0.24993840289195049</v>
      </c>
    </row>
    <row r="110" spans="1:8" x14ac:dyDescent="0.3">
      <c r="A110">
        <v>10900</v>
      </c>
      <c r="B110">
        <v>246.61</v>
      </c>
      <c r="C110">
        <v>2.149</v>
      </c>
      <c r="D110">
        <f t="shared" si="6"/>
        <v>2.1208981001727117E-3</v>
      </c>
      <c r="E110">
        <v>-43.6</v>
      </c>
      <c r="F110">
        <f t="shared" si="7"/>
        <v>229.54999999999998</v>
      </c>
      <c r="G110">
        <f t="shared" si="8"/>
        <v>0.22924293803331416</v>
      </c>
      <c r="H110">
        <f t="shared" si="9"/>
        <v>0.25237347682952566</v>
      </c>
    </row>
    <row r="111" spans="1:8" x14ac:dyDescent="0.3">
      <c r="A111">
        <v>11000</v>
      </c>
      <c r="B111">
        <v>243.01142857142801</v>
      </c>
      <c r="C111">
        <v>2.1248571428571399</v>
      </c>
      <c r="D111">
        <f t="shared" si="6"/>
        <v>2.097070952733422E-3</v>
      </c>
      <c r="E111">
        <v>-44.414285714285697</v>
      </c>
      <c r="F111">
        <f t="shared" si="7"/>
        <v>228.73571428571427</v>
      </c>
      <c r="G111">
        <f t="shared" si="8"/>
        <v>0.22616589812849763</v>
      </c>
      <c r="H111">
        <f t="shared" si="9"/>
        <v>0.25042653812409454</v>
      </c>
    </row>
    <row r="112" spans="1:8" x14ac:dyDescent="0.3">
      <c r="A112">
        <v>11100</v>
      </c>
      <c r="B112">
        <v>239.42428571428499</v>
      </c>
      <c r="C112">
        <v>2.153</v>
      </c>
      <c r="D112">
        <f t="shared" si="6"/>
        <v>2.1248457932395758E-3</v>
      </c>
      <c r="E112">
        <v>-45.4</v>
      </c>
      <c r="F112">
        <f t="shared" si="7"/>
        <v>227.74999999999997</v>
      </c>
      <c r="G112">
        <f t="shared" si="8"/>
        <v>0.22313016014842987</v>
      </c>
      <c r="H112">
        <f t="shared" si="9"/>
        <v>0.25484154925286068</v>
      </c>
    </row>
    <row r="113" spans="1:8" x14ac:dyDescent="0.3">
      <c r="A113">
        <v>11200</v>
      </c>
      <c r="B113">
        <v>235.845</v>
      </c>
      <c r="C113">
        <v>2.024</v>
      </c>
      <c r="D113">
        <f t="shared" si="6"/>
        <v>1.9975326918332099E-3</v>
      </c>
      <c r="E113">
        <v>-46.15</v>
      </c>
      <c r="F113">
        <f t="shared" si="7"/>
        <v>226.99999999999997</v>
      </c>
      <c r="G113">
        <f t="shared" si="8"/>
        <v>0.22013516971323896</v>
      </c>
      <c r="H113">
        <f t="shared" si="9"/>
        <v>0.24036390078160408</v>
      </c>
    </row>
    <row r="114" spans="1:8" x14ac:dyDescent="0.3">
      <c r="A114">
        <v>11300</v>
      </c>
      <c r="B114">
        <v>232.34</v>
      </c>
      <c r="C114">
        <v>1.8801249999999901</v>
      </c>
      <c r="D114">
        <f t="shared" si="6"/>
        <v>1.8555391068344339E-3</v>
      </c>
      <c r="E114">
        <v>-46.8</v>
      </c>
      <c r="F114">
        <f t="shared" si="7"/>
        <v>226.34999999999997</v>
      </c>
      <c r="G114">
        <f t="shared" si="8"/>
        <v>0.21718037988428138</v>
      </c>
      <c r="H114">
        <f t="shared" si="9"/>
        <v>0.22391893396590487</v>
      </c>
    </row>
    <row r="115" spans="1:8" x14ac:dyDescent="0.3">
      <c r="A115">
        <v>11400</v>
      </c>
      <c r="B115">
        <v>228.77727272727199</v>
      </c>
      <c r="C115">
        <v>1.74927272727272</v>
      </c>
      <c r="D115">
        <f t="shared" si="6"/>
        <v>1.7263979543772217E-3</v>
      </c>
      <c r="E115">
        <v>-47.409090909090899</v>
      </c>
      <c r="F115">
        <f t="shared" si="7"/>
        <v>225.74090909090907</v>
      </c>
      <c r="G115">
        <f t="shared" si="8"/>
        <v>0.21426525106426059</v>
      </c>
      <c r="H115">
        <f t="shared" si="9"/>
        <v>0.20889682917340954</v>
      </c>
    </row>
    <row r="116" spans="1:8" x14ac:dyDescent="0.3">
      <c r="A116">
        <v>11500</v>
      </c>
      <c r="B116">
        <v>225.352222222222</v>
      </c>
      <c r="C116">
        <v>1.6694444444444401</v>
      </c>
      <c r="D116">
        <f t="shared" si="6"/>
        <v>1.6476135647120059E-3</v>
      </c>
      <c r="E116">
        <v>-48.1</v>
      </c>
      <c r="F116">
        <f t="shared" si="7"/>
        <v>225.04999999999998</v>
      </c>
      <c r="G116">
        <f t="shared" si="8"/>
        <v>0.21138925089868754</v>
      </c>
      <c r="H116">
        <f t="shared" si="9"/>
        <v>0.19997584767877558</v>
      </c>
    </row>
    <row r="117" spans="1:8" x14ac:dyDescent="0.3">
      <c r="A117">
        <v>11600</v>
      </c>
      <c r="B117">
        <v>222.03</v>
      </c>
      <c r="C117">
        <v>1.7090000000000001</v>
      </c>
      <c r="D117">
        <f t="shared" si="6"/>
        <v>1.686651862817666E-3</v>
      </c>
      <c r="E117">
        <v>-48.8</v>
      </c>
      <c r="F117">
        <f t="shared" si="7"/>
        <v>224.34999999999997</v>
      </c>
      <c r="G117">
        <f t="shared" si="8"/>
        <v>0.2085518541786629</v>
      </c>
      <c r="H117">
        <f t="shared" si="9"/>
        <v>0.20535277750329639</v>
      </c>
    </row>
    <row r="118" spans="1:8" x14ac:dyDescent="0.3">
      <c r="A118">
        <v>11700</v>
      </c>
      <c r="B118">
        <v>218.66571428571399</v>
      </c>
      <c r="C118">
        <v>1.69114285714285</v>
      </c>
      <c r="D118">
        <f t="shared" si="6"/>
        <v>1.6690282330548728E-3</v>
      </c>
      <c r="E118">
        <v>-49.357142857142797</v>
      </c>
      <c r="F118">
        <f t="shared" si="7"/>
        <v>223.79285714285717</v>
      </c>
      <c r="G118">
        <f t="shared" si="8"/>
        <v>0.20575254274496466</v>
      </c>
      <c r="H118">
        <f t="shared" si="9"/>
        <v>0.20371296371086584</v>
      </c>
    </row>
    <row r="119" spans="1:8" x14ac:dyDescent="0.3">
      <c r="A119">
        <v>11800</v>
      </c>
      <c r="B119">
        <v>215.292</v>
      </c>
      <c r="C119">
        <v>1.6024</v>
      </c>
      <c r="D119">
        <f t="shared" si="6"/>
        <v>1.5814458425857389E-3</v>
      </c>
      <c r="E119">
        <v>-50.16</v>
      </c>
      <c r="F119">
        <f t="shared" si="7"/>
        <v>222.98999999999998</v>
      </c>
      <c r="G119">
        <f t="shared" si="8"/>
        <v>0.20299080539342315</v>
      </c>
      <c r="H119">
        <f t="shared" si="9"/>
        <v>0.19371807341239275</v>
      </c>
    </row>
    <row r="120" spans="1:8" x14ac:dyDescent="0.3">
      <c r="A120">
        <v>11900</v>
      </c>
      <c r="B120">
        <v>212.01249999999999</v>
      </c>
      <c r="C120">
        <v>1.502</v>
      </c>
      <c r="D120">
        <f t="shared" si="6"/>
        <v>1.4823587466074512E-3</v>
      </c>
      <c r="E120">
        <v>-50.5</v>
      </c>
      <c r="F120">
        <f t="shared" si="7"/>
        <v>222.64999999999998</v>
      </c>
      <c r="G120">
        <f t="shared" si="8"/>
        <v>0.20026613778156568</v>
      </c>
      <c r="H120">
        <f t="shared" si="9"/>
        <v>0.18185775505763543</v>
      </c>
    </row>
    <row r="121" spans="1:8" x14ac:dyDescent="0.3">
      <c r="A121">
        <v>12000</v>
      </c>
      <c r="B121">
        <v>208.71428571428501</v>
      </c>
      <c r="C121">
        <v>1.5109999999999999</v>
      </c>
      <c r="D121">
        <f t="shared" si="6"/>
        <v>1.4912410560078953E-3</v>
      </c>
      <c r="E121">
        <v>-51.357142857142797</v>
      </c>
      <c r="F121">
        <f t="shared" si="7"/>
        <v>221.79285714285717</v>
      </c>
      <c r="G121">
        <f t="shared" si="8"/>
        <v>0.19757804233651513</v>
      </c>
      <c r="H121">
        <f t="shared" si="9"/>
        <v>0.18365446917264472</v>
      </c>
    </row>
    <row r="122" spans="1:8" x14ac:dyDescent="0.3">
      <c r="A122">
        <v>12100</v>
      </c>
      <c r="B122">
        <v>205.576666666666</v>
      </c>
      <c r="C122">
        <v>1.546</v>
      </c>
      <c r="D122">
        <f t="shared" si="6"/>
        <v>1.5257833703429559E-3</v>
      </c>
      <c r="E122">
        <v>-52.133333333333297</v>
      </c>
      <c r="F122">
        <f t="shared" si="7"/>
        <v>221.01666666666668</v>
      </c>
      <c r="G122">
        <f t="shared" si="8"/>
        <v>0.19492602816412372</v>
      </c>
      <c r="H122">
        <f t="shared" si="9"/>
        <v>0.18856846132682828</v>
      </c>
    </row>
    <row r="123" spans="1:8" x14ac:dyDescent="0.3">
      <c r="A123">
        <v>12200</v>
      </c>
      <c r="B123">
        <v>202.52</v>
      </c>
      <c r="C123">
        <v>1.6319999999999999</v>
      </c>
      <c r="D123">
        <f t="shared" si="6"/>
        <v>1.6106587712805328E-3</v>
      </c>
      <c r="E123">
        <v>-53</v>
      </c>
      <c r="F123">
        <f t="shared" si="7"/>
        <v>220.14999999999998</v>
      </c>
      <c r="G123">
        <f t="shared" si="8"/>
        <v>0.19230961095932747</v>
      </c>
      <c r="H123">
        <f t="shared" si="9"/>
        <v>0.19984167312072565</v>
      </c>
    </row>
    <row r="124" spans="1:8" x14ac:dyDescent="0.3">
      <c r="A124">
        <v>12300</v>
      </c>
      <c r="B124">
        <v>199.34</v>
      </c>
      <c r="C124">
        <v>1.6279999999999999</v>
      </c>
      <c r="D124">
        <f t="shared" si="6"/>
        <v>1.6067110782136689E-3</v>
      </c>
      <c r="E124">
        <v>-53.9</v>
      </c>
      <c r="F124">
        <f t="shared" si="7"/>
        <v>219.24999999999997</v>
      </c>
      <c r="G124">
        <f t="shared" si="8"/>
        <v>0.18972831291770315</v>
      </c>
      <c r="H124">
        <f t="shared" si="9"/>
        <v>0.20017018518315333</v>
      </c>
    </row>
    <row r="125" spans="1:8" x14ac:dyDescent="0.3">
      <c r="A125">
        <v>12400</v>
      </c>
      <c r="B125">
        <v>196.27799999999999</v>
      </c>
      <c r="C125">
        <v>1.6896</v>
      </c>
      <c r="D125">
        <f t="shared" si="6"/>
        <v>1.6675055514433752E-3</v>
      </c>
      <c r="E125">
        <v>-54.7</v>
      </c>
      <c r="F125">
        <f t="shared" si="7"/>
        <v>218.45</v>
      </c>
      <c r="G125">
        <f t="shared" si="8"/>
        <v>0.18718166264821284</v>
      </c>
      <c r="H125">
        <f t="shared" si="9"/>
        <v>0.20850498575269305</v>
      </c>
    </row>
    <row r="126" spans="1:8" x14ac:dyDescent="0.3">
      <c r="A126">
        <v>12500</v>
      </c>
      <c r="B126">
        <v>193.124</v>
      </c>
      <c r="C126">
        <v>1.6315999999999999</v>
      </c>
      <c r="D126">
        <f t="shared" si="6"/>
        <v>1.6102640019738466E-3</v>
      </c>
      <c r="E126">
        <v>-55.2</v>
      </c>
      <c r="F126">
        <f t="shared" si="7"/>
        <v>217.95</v>
      </c>
      <c r="G126">
        <f t="shared" si="8"/>
        <v>0.1846691950871194</v>
      </c>
      <c r="H126">
        <f t="shared" si="9"/>
        <v>0.20180941139672229</v>
      </c>
    </row>
    <row r="127" spans="1:8" x14ac:dyDescent="0.3">
      <c r="A127">
        <v>12600</v>
      </c>
      <c r="B127">
        <v>190.21444444444401</v>
      </c>
      <c r="C127">
        <v>1.63344444444444</v>
      </c>
      <c r="D127">
        <f t="shared" si="6"/>
        <v>1.6120843271102295E-3</v>
      </c>
      <c r="E127">
        <v>-55.677777777777699</v>
      </c>
      <c r="F127">
        <f t="shared" si="7"/>
        <v>217.47222222222229</v>
      </c>
      <c r="G127">
        <f t="shared" si="8"/>
        <v>0.18219045141305759</v>
      </c>
      <c r="H127">
        <f t="shared" si="9"/>
        <v>0.20248141553462418</v>
      </c>
    </row>
    <row r="128" spans="1:8" x14ac:dyDescent="0.3">
      <c r="A128">
        <v>12700</v>
      </c>
      <c r="B128">
        <v>187.16</v>
      </c>
      <c r="C128">
        <v>1.6639999999999999</v>
      </c>
      <c r="D128">
        <f t="shared" si="6"/>
        <v>1.6422403158154453E-3</v>
      </c>
      <c r="E128">
        <v>-56.5</v>
      </c>
      <c r="F128">
        <f t="shared" si="7"/>
        <v>216.64999999999998</v>
      </c>
      <c r="G128">
        <f t="shared" si="8"/>
        <v>0.17974497896324521</v>
      </c>
      <c r="H128">
        <f t="shared" si="9"/>
        <v>0.20705190042233507</v>
      </c>
    </row>
    <row r="129" spans="1:8" x14ac:dyDescent="0.3">
      <c r="A129">
        <v>12800</v>
      </c>
      <c r="B129">
        <v>184.25333333333299</v>
      </c>
      <c r="C129">
        <v>1.6646666666666601</v>
      </c>
      <c r="D129">
        <f t="shared" si="6"/>
        <v>1.6428982646599162E-3</v>
      </c>
      <c r="E129">
        <v>-56.5</v>
      </c>
      <c r="F129">
        <f t="shared" si="7"/>
        <v>216.64999999999998</v>
      </c>
      <c r="G129">
        <f t="shared" si="8"/>
        <v>0.17733233115081862</v>
      </c>
      <c r="H129">
        <f t="shared" si="9"/>
        <v>0.2071348539080804</v>
      </c>
    </row>
    <row r="130" spans="1:8" x14ac:dyDescent="0.3">
      <c r="A130">
        <v>12900</v>
      </c>
      <c r="B130">
        <v>181.37</v>
      </c>
      <c r="C130">
        <v>1.6803333333333299</v>
      </c>
      <c r="D130">
        <f t="shared" si="6"/>
        <v>1.6583600625051369E-3</v>
      </c>
      <c r="E130">
        <v>-57.233333333333299</v>
      </c>
      <c r="F130">
        <f t="shared" si="7"/>
        <v>215.91666666666669</v>
      </c>
      <c r="G130">
        <f t="shared" si="8"/>
        <v>0.1749520673832782</v>
      </c>
      <c r="H130">
        <f t="shared" si="9"/>
        <v>0.20979438876415812</v>
      </c>
    </row>
    <row r="131" spans="1:8" x14ac:dyDescent="0.3">
      <c r="A131">
        <v>13000</v>
      </c>
      <c r="B131">
        <v>178.518333333333</v>
      </c>
      <c r="C131">
        <v>1.6768333333333301</v>
      </c>
      <c r="D131">
        <f t="shared" ref="D131:D194" si="10">C131/1013.25</f>
        <v>1.6549058310716309E-3</v>
      </c>
      <c r="E131">
        <v>-57.816666666666599</v>
      </c>
      <c r="F131">
        <f t="shared" ref="F131:F194" si="11">E131+273.15</f>
        <v>215.33333333333337</v>
      </c>
      <c r="G131">
        <f t="shared" ref="G131:G194" si="12">EXP((-A131*0.001)/7.4)</f>
        <v>0.17260375298202821</v>
      </c>
      <c r="H131">
        <f t="shared" ref="H131:H194" si="13">(D131*273.15*100)/F131</f>
        <v>0.20992454849406311</v>
      </c>
    </row>
    <row r="132" spans="1:8" x14ac:dyDescent="0.3">
      <c r="A132">
        <v>13100</v>
      </c>
      <c r="B132">
        <v>175.715</v>
      </c>
      <c r="C132">
        <v>1.6695</v>
      </c>
      <c r="D132">
        <f t="shared" si="10"/>
        <v>1.6476683937823834E-3</v>
      </c>
      <c r="E132">
        <v>-58.65</v>
      </c>
      <c r="F132">
        <f t="shared" si="11"/>
        <v>214.49999999999997</v>
      </c>
      <c r="G132">
        <f t="shared" si="12"/>
        <v>0.1702869591029966</v>
      </c>
      <c r="H132">
        <f t="shared" si="13"/>
        <v>0.20981847168375667</v>
      </c>
    </row>
    <row r="133" spans="1:8" x14ac:dyDescent="0.3">
      <c r="A133">
        <v>13200</v>
      </c>
      <c r="B133">
        <v>172.96250000000001</v>
      </c>
      <c r="C133">
        <v>1.5787499999999901</v>
      </c>
      <c r="D133">
        <f t="shared" si="10"/>
        <v>1.5581051073278954E-3</v>
      </c>
      <c r="E133">
        <v>-59.575000000000003</v>
      </c>
      <c r="F133">
        <f t="shared" si="11"/>
        <v>213.57499999999999</v>
      </c>
      <c r="G133">
        <f t="shared" si="12"/>
        <v>0.1680012626583208</v>
      </c>
      <c r="H133">
        <f t="shared" si="13"/>
        <v>0.19927257875060966</v>
      </c>
    </row>
    <row r="134" spans="1:8" x14ac:dyDescent="0.3">
      <c r="A134">
        <v>13300</v>
      </c>
      <c r="B134">
        <v>170.22</v>
      </c>
      <c r="C134">
        <v>1.59157142857142</v>
      </c>
      <c r="D134">
        <f t="shared" si="10"/>
        <v>1.570758873497577E-3</v>
      </c>
      <c r="E134">
        <v>-60.428571428571402</v>
      </c>
      <c r="F134">
        <f t="shared" si="11"/>
        <v>212.72142857142859</v>
      </c>
      <c r="G134">
        <f t="shared" si="12"/>
        <v>0.16574624623908393</v>
      </c>
      <c r="H134">
        <f t="shared" si="13"/>
        <v>0.20169702186434582</v>
      </c>
    </row>
    <row r="135" spans="1:8" x14ac:dyDescent="0.3">
      <c r="A135">
        <v>13400</v>
      </c>
      <c r="B135">
        <v>167.45625000000001</v>
      </c>
      <c r="C135">
        <v>1.5994999999999999</v>
      </c>
      <c r="D135">
        <f t="shared" si="10"/>
        <v>1.5785837651122625E-3</v>
      </c>
      <c r="E135">
        <v>-61</v>
      </c>
      <c r="F135">
        <f t="shared" si="11"/>
        <v>212.14999999999998</v>
      </c>
      <c r="G135">
        <f t="shared" si="12"/>
        <v>0.16352149803908883</v>
      </c>
      <c r="H135">
        <f t="shared" si="13"/>
        <v>0.2032477753666814</v>
      </c>
    </row>
    <row r="136" spans="1:8" x14ac:dyDescent="0.3">
      <c r="A136">
        <v>13500</v>
      </c>
      <c r="B136">
        <v>164.79333333333301</v>
      </c>
      <c r="C136">
        <v>1.4684999999999999</v>
      </c>
      <c r="D136">
        <f t="shared" si="10"/>
        <v>1.4492968171724648E-3</v>
      </c>
      <c r="E136">
        <v>-61.183333333333302</v>
      </c>
      <c r="F136">
        <f t="shared" si="11"/>
        <v>211.96666666666667</v>
      </c>
      <c r="G136">
        <f t="shared" si="12"/>
        <v>0.16132661177965457</v>
      </c>
      <c r="H136">
        <f t="shared" si="13"/>
        <v>0.18676305658625192</v>
      </c>
    </row>
    <row r="137" spans="1:8" x14ac:dyDescent="0.3">
      <c r="A137">
        <v>13600</v>
      </c>
      <c r="B137">
        <v>162.19999999999999</v>
      </c>
      <c r="C137">
        <v>1.4012</v>
      </c>
      <c r="D137">
        <f t="shared" si="10"/>
        <v>1.3828768813224771E-3</v>
      </c>
      <c r="E137">
        <v>-61.7</v>
      </c>
      <c r="F137">
        <f t="shared" si="11"/>
        <v>211.45</v>
      </c>
      <c r="G137">
        <f t="shared" si="12"/>
        <v>0.15916118663542309</v>
      </c>
      <c r="H137">
        <f t="shared" si="13"/>
        <v>0.17863930959244956</v>
      </c>
    </row>
    <row r="138" spans="1:8" x14ac:dyDescent="0.3">
      <c r="A138">
        <v>13700</v>
      </c>
      <c r="B138">
        <v>159.56</v>
      </c>
      <c r="C138">
        <v>1.45566666666666</v>
      </c>
      <c r="D138">
        <f t="shared" si="10"/>
        <v>1.4366313019162694E-3</v>
      </c>
      <c r="E138">
        <v>-62.6</v>
      </c>
      <c r="F138">
        <f t="shared" si="11"/>
        <v>210.54999999999998</v>
      </c>
      <c r="G138">
        <f t="shared" si="12"/>
        <v>0.15702482716116095</v>
      </c>
      <c r="H138">
        <f t="shared" si="13"/>
        <v>0.18637655669362574</v>
      </c>
    </row>
    <row r="139" spans="1:8" x14ac:dyDescent="0.3">
      <c r="A139">
        <v>13800</v>
      </c>
      <c r="B139">
        <v>156.96714285714199</v>
      </c>
      <c r="C139">
        <v>1.4870000000000001</v>
      </c>
      <c r="D139">
        <f t="shared" si="10"/>
        <v>1.4675548976067112E-3</v>
      </c>
      <c r="E139">
        <v>-63.342857142857099</v>
      </c>
      <c r="F139">
        <f t="shared" si="11"/>
        <v>209.80714285714288</v>
      </c>
      <c r="G139">
        <f t="shared" si="12"/>
        <v>0.15491714321954439</v>
      </c>
      <c r="H139">
        <f t="shared" si="13"/>
        <v>0.19106242753337499</v>
      </c>
    </row>
    <row r="140" spans="1:8" x14ac:dyDescent="0.3">
      <c r="A140">
        <v>13900</v>
      </c>
      <c r="B140">
        <v>154.54333333333301</v>
      </c>
      <c r="C140">
        <v>1.53233333333333</v>
      </c>
      <c r="D140">
        <f t="shared" si="10"/>
        <v>1.5122954190311671E-3</v>
      </c>
      <c r="E140">
        <v>-63.033333333333303</v>
      </c>
      <c r="F140">
        <f t="shared" si="11"/>
        <v>210.11666666666667</v>
      </c>
      <c r="G140">
        <f t="shared" si="12"/>
        <v>0.15283774990991303</v>
      </c>
      <c r="H140">
        <f t="shared" si="13"/>
        <v>0.19659720490601884</v>
      </c>
    </row>
    <row r="141" spans="1:8" x14ac:dyDescent="0.3">
      <c r="A141">
        <v>14000</v>
      </c>
      <c r="B141">
        <v>151.9325</v>
      </c>
      <c r="C141">
        <v>1.6455</v>
      </c>
      <c r="D141">
        <f t="shared" si="10"/>
        <v>1.6239822353811991E-3</v>
      </c>
      <c r="E141">
        <v>-63.6875</v>
      </c>
      <c r="F141">
        <f t="shared" si="11"/>
        <v>209.46249999999998</v>
      </c>
      <c r="G141">
        <f t="shared" si="12"/>
        <v>0.1507862674979801</v>
      </c>
      <c r="H141">
        <f t="shared" si="13"/>
        <v>0.21177573436504124</v>
      </c>
    </row>
    <row r="142" spans="1:8" x14ac:dyDescent="0.3">
      <c r="A142">
        <v>14100</v>
      </c>
      <c r="B142">
        <v>149.50399999999999</v>
      </c>
      <c r="C142">
        <v>1.6910000000000001</v>
      </c>
      <c r="D142">
        <f t="shared" si="10"/>
        <v>1.6688872440167777E-3</v>
      </c>
      <c r="E142">
        <v>-64.02</v>
      </c>
      <c r="F142">
        <f t="shared" si="11"/>
        <v>209.13</v>
      </c>
      <c r="G142">
        <f t="shared" si="12"/>
        <v>0.14876232134648645</v>
      </c>
      <c r="H142">
        <f t="shared" si="13"/>
        <v>0.21797759800276514</v>
      </c>
    </row>
    <row r="143" spans="1:8" x14ac:dyDescent="0.3">
      <c r="A143">
        <v>14200</v>
      </c>
      <c r="B143">
        <v>147.04</v>
      </c>
      <c r="C143">
        <v>1.7130000000000001</v>
      </c>
      <c r="D143">
        <f t="shared" si="10"/>
        <v>1.6905995558845301E-3</v>
      </c>
      <c r="E143">
        <v>-64.900000000000006</v>
      </c>
      <c r="F143">
        <f t="shared" si="11"/>
        <v>208.24999999999997</v>
      </c>
      <c r="G143">
        <f t="shared" si="12"/>
        <v>0.14676554184678484</v>
      </c>
      <c r="H143">
        <f t="shared" si="13"/>
        <v>0.22174658760617497</v>
      </c>
    </row>
    <row r="144" spans="1:8" x14ac:dyDescent="0.3">
      <c r="A144">
        <v>14300</v>
      </c>
      <c r="B144">
        <v>144.72142857142799</v>
      </c>
      <c r="C144">
        <v>1.7418571428571401</v>
      </c>
      <c r="D144">
        <f t="shared" si="10"/>
        <v>1.7190793415811894E-3</v>
      </c>
      <c r="E144">
        <v>-65.5</v>
      </c>
      <c r="F144">
        <f t="shared" si="11"/>
        <v>207.64999999999998</v>
      </c>
      <c r="G144">
        <f t="shared" si="12"/>
        <v>0.14479556435134308</v>
      </c>
      <c r="H144">
        <f t="shared" si="13"/>
        <v>0.22613364900211985</v>
      </c>
    </row>
    <row r="145" spans="1:8" x14ac:dyDescent="0.3">
      <c r="A145">
        <v>14400</v>
      </c>
      <c r="B145">
        <v>142.33222222222199</v>
      </c>
      <c r="C145">
        <v>1.6579999999999999</v>
      </c>
      <c r="D145">
        <f t="shared" si="10"/>
        <v>1.6363187762151491E-3</v>
      </c>
      <c r="E145">
        <v>-65.9444444444444</v>
      </c>
      <c r="F145">
        <f t="shared" si="11"/>
        <v>207.20555555555558</v>
      </c>
      <c r="G145">
        <f t="shared" si="12"/>
        <v>0.14285202910715264</v>
      </c>
      <c r="H145">
        <f t="shared" si="13"/>
        <v>0.21570873064903401</v>
      </c>
    </row>
    <row r="146" spans="1:8" x14ac:dyDescent="0.3">
      <c r="A146">
        <v>14500</v>
      </c>
      <c r="B146">
        <v>140.01999999999899</v>
      </c>
      <c r="C146">
        <v>1.615</v>
      </c>
      <c r="D146">
        <f t="shared" si="10"/>
        <v>1.5938810757463607E-3</v>
      </c>
      <c r="E146">
        <v>-66.75</v>
      </c>
      <c r="F146">
        <f t="shared" si="11"/>
        <v>206.39999999999998</v>
      </c>
      <c r="G146">
        <f t="shared" si="12"/>
        <v>0.14093458119003144</v>
      </c>
      <c r="H146">
        <f t="shared" si="13"/>
        <v>0.2109344068992822</v>
      </c>
    </row>
    <row r="147" spans="1:8" x14ac:dyDescent="0.3">
      <c r="A147">
        <v>14600</v>
      </c>
      <c r="B147">
        <v>137.69</v>
      </c>
      <c r="C147">
        <v>1.5880000000000001</v>
      </c>
      <c r="D147">
        <f t="shared" si="10"/>
        <v>1.5672341475450285E-3</v>
      </c>
      <c r="E147">
        <v>-67.599999999999994</v>
      </c>
      <c r="F147">
        <f t="shared" si="11"/>
        <v>205.54999999999998</v>
      </c>
      <c r="G147">
        <f t="shared" si="12"/>
        <v>0.13904287043980842</v>
      </c>
      <c r="H147">
        <f t="shared" si="13"/>
        <v>0.20826563240181195</v>
      </c>
    </row>
    <row r="148" spans="1:8" x14ac:dyDescent="0.3">
      <c r="A148">
        <v>14700</v>
      </c>
      <c r="B148">
        <v>135.37428571428501</v>
      </c>
      <c r="C148">
        <v>1.53</v>
      </c>
      <c r="D148">
        <f t="shared" si="10"/>
        <v>1.5099925980754996E-3</v>
      </c>
      <c r="E148">
        <v>-68.400000000000006</v>
      </c>
      <c r="F148">
        <f t="shared" si="11"/>
        <v>204.74999999999997</v>
      </c>
      <c r="G148">
        <f t="shared" si="12"/>
        <v>0.13717655139637788</v>
      </c>
      <c r="H148">
        <f t="shared" si="13"/>
        <v>0.20144296857842381</v>
      </c>
    </row>
    <row r="149" spans="1:8" x14ac:dyDescent="0.3">
      <c r="A149">
        <v>14800</v>
      </c>
      <c r="B149">
        <v>133.14400000000001</v>
      </c>
      <c r="C149">
        <v>1.6057999999999999</v>
      </c>
      <c r="D149">
        <f t="shared" si="10"/>
        <v>1.5848013816925732E-3</v>
      </c>
      <c r="E149">
        <v>-69.2</v>
      </c>
      <c r="F149">
        <f t="shared" si="11"/>
        <v>203.95</v>
      </c>
      <c r="G149">
        <f t="shared" si="12"/>
        <v>0.1353352832366127</v>
      </c>
      <c r="H149">
        <f t="shared" si="13"/>
        <v>0.21225226644242529</v>
      </c>
    </row>
    <row r="150" spans="1:8" x14ac:dyDescent="0.3">
      <c r="A150">
        <v>14900</v>
      </c>
      <c r="B150">
        <v>130.95499999999899</v>
      </c>
      <c r="C150">
        <v>1.5960000000000001</v>
      </c>
      <c r="D150">
        <f t="shared" si="10"/>
        <v>1.5751295336787566E-3</v>
      </c>
      <c r="E150">
        <v>-70.099999999999994</v>
      </c>
      <c r="F150">
        <f t="shared" si="11"/>
        <v>203.04999999999998</v>
      </c>
      <c r="G150">
        <f t="shared" si="12"/>
        <v>0.13351872971212334</v>
      </c>
      <c r="H150">
        <f t="shared" si="13"/>
        <v>0.21189196361701665</v>
      </c>
    </row>
    <row r="151" spans="1:8" x14ac:dyDescent="0.3">
      <c r="A151">
        <v>15000</v>
      </c>
      <c r="B151">
        <v>128.80166666666599</v>
      </c>
      <c r="C151">
        <v>1.5720000000000001</v>
      </c>
      <c r="D151">
        <f t="shared" si="10"/>
        <v>1.5514433752775723E-3</v>
      </c>
      <c r="E151">
        <v>-70.900000000000006</v>
      </c>
      <c r="F151">
        <f t="shared" si="11"/>
        <v>202.24999999999997</v>
      </c>
      <c r="G151">
        <f t="shared" si="12"/>
        <v>0.13172655908785355</v>
      </c>
      <c r="H151">
        <f t="shared" si="13"/>
        <v>0.20953115350164095</v>
      </c>
    </row>
    <row r="152" spans="1:8" x14ac:dyDescent="0.3">
      <c r="A152">
        <v>15100</v>
      </c>
      <c r="B152">
        <v>126.574</v>
      </c>
      <c r="C152">
        <v>1.4970000000000001</v>
      </c>
      <c r="D152">
        <f t="shared" si="10"/>
        <v>1.4774241302738713E-3</v>
      </c>
      <c r="E152">
        <v>-71.8</v>
      </c>
      <c r="F152">
        <f t="shared" si="11"/>
        <v>201.34999999999997</v>
      </c>
      <c r="G152">
        <f t="shared" si="12"/>
        <v>0.12995844408149904</v>
      </c>
      <c r="H152">
        <f t="shared" si="13"/>
        <v>0.20042632291249465</v>
      </c>
    </row>
    <row r="153" spans="1:8" x14ac:dyDescent="0.3">
      <c r="A153">
        <v>15200</v>
      </c>
      <c r="B153">
        <v>124.49124999999999</v>
      </c>
      <c r="C153">
        <v>1.4470000000000001</v>
      </c>
      <c r="D153">
        <f t="shared" si="10"/>
        <v>1.4280779669380707E-3</v>
      </c>
      <c r="E153">
        <v>-72.7</v>
      </c>
      <c r="F153">
        <f t="shared" si="11"/>
        <v>200.45</v>
      </c>
      <c r="G153">
        <f t="shared" si="12"/>
        <v>0.12821406180374034</v>
      </c>
      <c r="H153">
        <f t="shared" si="13"/>
        <v>0.19460189407290296</v>
      </c>
    </row>
    <row r="154" spans="1:8" x14ac:dyDescent="0.3">
      <c r="A154">
        <v>15300</v>
      </c>
      <c r="B154">
        <v>122.36199999999999</v>
      </c>
      <c r="C154">
        <v>1.4141999999999999</v>
      </c>
      <c r="D154">
        <f t="shared" si="10"/>
        <v>1.3957068837897853E-3</v>
      </c>
      <c r="E154">
        <v>-73.5</v>
      </c>
      <c r="F154">
        <f t="shared" si="11"/>
        <v>199.64999999999998</v>
      </c>
      <c r="G154">
        <f t="shared" si="12"/>
        <v>0.12649309369927733</v>
      </c>
      <c r="H154">
        <f t="shared" si="13"/>
        <v>0.19095283511504127</v>
      </c>
    </row>
    <row r="155" spans="1:8" x14ac:dyDescent="0.3">
      <c r="A155">
        <v>15400</v>
      </c>
      <c r="B155">
        <v>120.26875</v>
      </c>
      <c r="C155">
        <v>1.3859999999999999</v>
      </c>
      <c r="D155">
        <f t="shared" si="10"/>
        <v>1.3678756476683937E-3</v>
      </c>
      <c r="E155">
        <v>-74.162499999999994</v>
      </c>
      <c r="F155">
        <f t="shared" si="11"/>
        <v>198.98749999999998</v>
      </c>
      <c r="G155">
        <f t="shared" si="12"/>
        <v>0.12479522548865522</v>
      </c>
      <c r="H155">
        <f t="shared" si="13"/>
        <v>0.18776819305766529</v>
      </c>
    </row>
    <row r="156" spans="1:8" x14ac:dyDescent="0.3">
      <c r="A156">
        <v>15500</v>
      </c>
      <c r="B156">
        <v>118.206666666666</v>
      </c>
      <c r="C156">
        <v>1.3460000000000001</v>
      </c>
      <c r="D156">
        <f t="shared" si="10"/>
        <v>1.3283987169997534E-3</v>
      </c>
      <c r="E156">
        <v>-74.8</v>
      </c>
      <c r="F156">
        <f t="shared" si="11"/>
        <v>198.34999999999997</v>
      </c>
      <c r="G156">
        <f t="shared" si="12"/>
        <v>0.12312014711087176</v>
      </c>
      <c r="H156">
        <f t="shared" si="13"/>
        <v>0.18293527075799479</v>
      </c>
    </row>
    <row r="157" spans="1:8" x14ac:dyDescent="0.3">
      <c r="A157">
        <v>15600</v>
      </c>
      <c r="B157">
        <v>116.22799999999999</v>
      </c>
      <c r="C157">
        <v>1.3080000000000001</v>
      </c>
      <c r="D157">
        <f t="shared" si="10"/>
        <v>1.2908956328645449E-3</v>
      </c>
      <c r="E157">
        <v>-75.3</v>
      </c>
      <c r="F157">
        <f t="shared" si="11"/>
        <v>197.84999999999997</v>
      </c>
      <c r="G157">
        <f t="shared" si="12"/>
        <v>0.1214675526667542</v>
      </c>
      <c r="H157">
        <f t="shared" si="13"/>
        <v>0.17821993536363431</v>
      </c>
    </row>
    <row r="158" spans="1:8" x14ac:dyDescent="0.3">
      <c r="A158">
        <v>15700</v>
      </c>
      <c r="B158">
        <v>114.22199999999999</v>
      </c>
      <c r="C158">
        <v>1.2813999999999901</v>
      </c>
      <c r="D158">
        <f t="shared" si="10"/>
        <v>1.2646434739698891E-3</v>
      </c>
      <c r="E158">
        <v>-76.02</v>
      </c>
      <c r="F158">
        <f t="shared" si="11"/>
        <v>197.13</v>
      </c>
      <c r="G158">
        <f t="shared" si="12"/>
        <v>0.11983714036309713</v>
      </c>
      <c r="H158">
        <f t="shared" si="13"/>
        <v>0.17523328002580796</v>
      </c>
    </row>
    <row r="159" spans="1:8" x14ac:dyDescent="0.3">
      <c r="A159">
        <v>15800</v>
      </c>
      <c r="B159">
        <v>112.182857142857</v>
      </c>
      <c r="C159">
        <v>1.29657142857142</v>
      </c>
      <c r="D159">
        <f t="shared" si="10"/>
        <v>1.2796165098163533E-3</v>
      </c>
      <c r="E159">
        <v>-76.757142857142796</v>
      </c>
      <c r="F159">
        <f t="shared" si="11"/>
        <v>196.39285714285717</v>
      </c>
      <c r="G159">
        <f t="shared" si="12"/>
        <v>0.11822861245754933</v>
      </c>
      <c r="H159">
        <f t="shared" si="13"/>
        <v>0.17797350409851664</v>
      </c>
    </row>
    <row r="160" spans="1:8" x14ac:dyDescent="0.3">
      <c r="A160">
        <v>15900</v>
      </c>
      <c r="B160">
        <v>110.31</v>
      </c>
      <c r="C160">
        <v>1.3149999999999999</v>
      </c>
      <c r="D160">
        <f t="shared" si="10"/>
        <v>1.2978040957315569E-3</v>
      </c>
      <c r="E160">
        <v>-77.400000000000006</v>
      </c>
      <c r="F160">
        <f t="shared" si="11"/>
        <v>195.74999999999997</v>
      </c>
      <c r="G160">
        <f t="shared" si="12"/>
        <v>0.11664167520424076</v>
      </c>
      <c r="H160">
        <f t="shared" si="13"/>
        <v>0.18109588186415057</v>
      </c>
    </row>
    <row r="161" spans="1:8" x14ac:dyDescent="0.3">
      <c r="A161">
        <v>16000</v>
      </c>
      <c r="B161">
        <v>108.36</v>
      </c>
      <c r="C161">
        <v>1.274</v>
      </c>
      <c r="D161">
        <f t="shared" si="10"/>
        <v>1.2573402417962003E-3</v>
      </c>
      <c r="E161">
        <v>-76.5</v>
      </c>
      <c r="F161">
        <f t="shared" si="11"/>
        <v>196.64999999999998</v>
      </c>
      <c r="G161">
        <f t="shared" si="12"/>
        <v>0.11507603880013949</v>
      </c>
      <c r="H161">
        <f t="shared" si="13"/>
        <v>0.17464657363164612</v>
      </c>
    </row>
    <row r="162" spans="1:8" x14ac:dyDescent="0.3">
      <c r="A162">
        <v>16100</v>
      </c>
      <c r="B162">
        <v>106.47666666666601</v>
      </c>
      <c r="C162">
        <v>1.2529999999999999</v>
      </c>
      <c r="D162">
        <f t="shared" si="10"/>
        <v>1.2366148531951641E-3</v>
      </c>
      <c r="E162">
        <v>-76.400000000000006</v>
      </c>
      <c r="F162">
        <f t="shared" si="11"/>
        <v>196.74999999999997</v>
      </c>
      <c r="G162">
        <f t="shared" si="12"/>
        <v>0.11353141733212811</v>
      </c>
      <c r="H162">
        <f t="shared" si="13"/>
        <v>0.17168048139784453</v>
      </c>
    </row>
    <row r="163" spans="1:8" x14ac:dyDescent="0.3">
      <c r="A163">
        <v>16200</v>
      </c>
      <c r="B163">
        <v>104.73</v>
      </c>
      <c r="C163">
        <v>1.2470000000000001</v>
      </c>
      <c r="D163">
        <f t="shared" si="10"/>
        <v>1.2306933135948681E-3</v>
      </c>
      <c r="E163">
        <v>-76.7</v>
      </c>
      <c r="F163">
        <f t="shared" si="11"/>
        <v>196.45</v>
      </c>
      <c r="G163">
        <f t="shared" si="12"/>
        <v>0.11200752872479154</v>
      </c>
      <c r="H163">
        <f t="shared" si="13"/>
        <v>0.17111930700353181</v>
      </c>
    </row>
    <row r="164" spans="1:8" x14ac:dyDescent="0.3">
      <c r="A164">
        <v>16300</v>
      </c>
      <c r="B164">
        <v>102.87</v>
      </c>
      <c r="C164">
        <v>1.228</v>
      </c>
      <c r="D164">
        <f t="shared" si="10"/>
        <v>1.2119417715272638E-3</v>
      </c>
      <c r="E164">
        <v>-77</v>
      </c>
      <c r="F164">
        <f t="shared" si="11"/>
        <v>196.14999999999998</v>
      </c>
      <c r="G164">
        <f t="shared" si="12"/>
        <v>0.11050409468890431</v>
      </c>
      <c r="H164">
        <f t="shared" si="13"/>
        <v>0.16876976543088049</v>
      </c>
    </row>
    <row r="165" spans="1:8" x14ac:dyDescent="0.3">
      <c r="A165">
        <v>16400</v>
      </c>
      <c r="B165">
        <v>101.14571428571401</v>
      </c>
      <c r="C165">
        <v>1.244</v>
      </c>
      <c r="D165">
        <f t="shared" si="10"/>
        <v>1.22773254379472E-3</v>
      </c>
      <c r="E165">
        <v>-77.628571428571405</v>
      </c>
      <c r="F165">
        <f t="shared" si="11"/>
        <v>195.52142857142857</v>
      </c>
      <c r="G165">
        <f t="shared" si="12"/>
        <v>0.10902084067061057</v>
      </c>
      <c r="H165">
        <f t="shared" si="13"/>
        <v>0.1715183582627183</v>
      </c>
    </row>
    <row r="166" spans="1:8" x14ac:dyDescent="0.3">
      <c r="A166">
        <v>16500</v>
      </c>
      <c r="B166">
        <v>99.338333333333296</v>
      </c>
      <c r="C166">
        <v>1.2424999999999999</v>
      </c>
      <c r="D166">
        <f t="shared" si="10"/>
        <v>1.2262521588946459E-3</v>
      </c>
      <c r="E166">
        <v>-78.5</v>
      </c>
      <c r="F166">
        <f t="shared" si="11"/>
        <v>194.64999999999998</v>
      </c>
      <c r="G166">
        <f t="shared" si="12"/>
        <v>0.10755749580128518</v>
      </c>
      <c r="H166">
        <f t="shared" si="13"/>
        <v>0.17207848815929747</v>
      </c>
    </row>
    <row r="167" spans="1:8" x14ac:dyDescent="0.3">
      <c r="A167">
        <v>16600</v>
      </c>
      <c r="B167">
        <v>97.653333333333293</v>
      </c>
      <c r="C167">
        <v>1.39516666666666</v>
      </c>
      <c r="D167">
        <f t="shared" si="10"/>
        <v>1.3769224442799508E-3</v>
      </c>
      <c r="E167">
        <v>-78.2</v>
      </c>
      <c r="F167">
        <f t="shared" si="11"/>
        <v>194.95</v>
      </c>
      <c r="G167">
        <f t="shared" si="12"/>
        <v>0.10611379284806881</v>
      </c>
      <c r="H167">
        <f t="shared" si="13"/>
        <v>0.19292452713776279</v>
      </c>
    </row>
    <row r="168" spans="1:8" x14ac:dyDescent="0.3">
      <c r="A168">
        <v>16700</v>
      </c>
      <c r="B168">
        <v>95.951428571428494</v>
      </c>
      <c r="C168">
        <v>1.4870000000000001</v>
      </c>
      <c r="D168">
        <f t="shared" si="10"/>
        <v>1.4675548976067112E-3</v>
      </c>
      <c r="E168">
        <v>-78.385714285714201</v>
      </c>
      <c r="F168">
        <f t="shared" si="11"/>
        <v>194.76428571428579</v>
      </c>
      <c r="G168">
        <f t="shared" si="12"/>
        <v>0.10468946816506598</v>
      </c>
      <c r="H168">
        <f t="shared" si="13"/>
        <v>0.20581936714482055</v>
      </c>
    </row>
    <row r="169" spans="1:8" x14ac:dyDescent="0.3">
      <c r="A169">
        <v>16800</v>
      </c>
      <c r="B169">
        <v>94.26</v>
      </c>
      <c r="C169">
        <v>1.536</v>
      </c>
      <c r="D169">
        <f t="shared" si="10"/>
        <v>1.5159141376757958E-3</v>
      </c>
      <c r="E169">
        <v>-78.3</v>
      </c>
      <c r="F169">
        <f t="shared" si="11"/>
        <v>194.84999999999997</v>
      </c>
      <c r="G169">
        <f t="shared" si="12"/>
        <v>0.10328426164519876</v>
      </c>
      <c r="H169">
        <f t="shared" si="13"/>
        <v>0.21250805578965545</v>
      </c>
    </row>
    <row r="170" spans="1:8" x14ac:dyDescent="0.3">
      <c r="A170">
        <v>16900</v>
      </c>
      <c r="B170">
        <v>92.636666666666599</v>
      </c>
      <c r="C170">
        <v>1.6806666666666601</v>
      </c>
      <c r="D170">
        <f t="shared" si="10"/>
        <v>1.6586890369273725E-3</v>
      </c>
      <c r="E170">
        <v>-77.400000000000006</v>
      </c>
      <c r="F170">
        <f t="shared" si="11"/>
        <v>195.74999999999997</v>
      </c>
      <c r="G170">
        <f t="shared" si="12"/>
        <v>0.10189791667270676</v>
      </c>
      <c r="H170">
        <f t="shared" si="13"/>
        <v>0.23145384952067016</v>
      </c>
    </row>
    <row r="171" spans="1:8" x14ac:dyDescent="0.3">
      <c r="A171">
        <v>17000</v>
      </c>
      <c r="B171">
        <v>91.037999999999997</v>
      </c>
      <c r="C171">
        <v>2.0583999999999998</v>
      </c>
      <c r="D171">
        <f t="shared" si="10"/>
        <v>2.0314828522082404E-3</v>
      </c>
      <c r="E171">
        <v>-76.7</v>
      </c>
      <c r="F171">
        <f t="shared" si="11"/>
        <v>196.45</v>
      </c>
      <c r="G171">
        <f t="shared" si="12"/>
        <v>0.10053018007628416</v>
      </c>
      <c r="H171">
        <f t="shared" si="13"/>
        <v>0.28246349762315137</v>
      </c>
    </row>
    <row r="172" spans="1:8" x14ac:dyDescent="0.3">
      <c r="A172">
        <v>17100</v>
      </c>
      <c r="B172">
        <v>89.42</v>
      </c>
      <c r="C172">
        <v>2.2690000000000001</v>
      </c>
      <c r="D172">
        <f t="shared" si="10"/>
        <v>2.2393288921786331E-3</v>
      </c>
      <c r="E172">
        <v>-77.400000000000006</v>
      </c>
      <c r="F172">
        <f t="shared" si="11"/>
        <v>195.74999999999997</v>
      </c>
      <c r="G172">
        <f t="shared" si="12"/>
        <v>9.9180802082846617E-2</v>
      </c>
      <c r="H172">
        <f t="shared" si="13"/>
        <v>0.31247646840285753</v>
      </c>
    </row>
    <row r="173" spans="1:8" x14ac:dyDescent="0.3">
      <c r="A173">
        <v>17200</v>
      </c>
      <c r="B173">
        <v>87.867999999999995</v>
      </c>
      <c r="C173">
        <v>2.2768000000000002</v>
      </c>
      <c r="D173">
        <f t="shared" si="10"/>
        <v>2.2470268936590184E-3</v>
      </c>
      <c r="E173">
        <v>-78.14</v>
      </c>
      <c r="F173">
        <f t="shared" si="11"/>
        <v>195.01</v>
      </c>
      <c r="G173">
        <f t="shared" si="12"/>
        <v>9.7849536271917809E-2</v>
      </c>
      <c r="H173">
        <f t="shared" si="13"/>
        <v>0.31474047279778516</v>
      </c>
    </row>
    <row r="174" spans="1:8" x14ac:dyDescent="0.3">
      <c r="A174">
        <v>17300</v>
      </c>
      <c r="B174">
        <v>86.373333333333306</v>
      </c>
      <c r="C174">
        <v>2.4273333333333298</v>
      </c>
      <c r="D174">
        <f t="shared" si="10"/>
        <v>2.3955917427419984E-3</v>
      </c>
      <c r="E174">
        <v>-77.233333333333306</v>
      </c>
      <c r="F174">
        <f t="shared" si="11"/>
        <v>195.91666666666669</v>
      </c>
      <c r="G174">
        <f t="shared" si="12"/>
        <v>9.6536139530628728E-2</v>
      </c>
      <c r="H174">
        <f t="shared" si="13"/>
        <v>0.33399704867544538</v>
      </c>
    </row>
    <row r="175" spans="1:8" x14ac:dyDescent="0.3">
      <c r="A175">
        <v>17400</v>
      </c>
      <c r="B175">
        <v>84.908571428571406</v>
      </c>
      <c r="C175">
        <v>2.51742857142857</v>
      </c>
      <c r="D175">
        <f t="shared" si="10"/>
        <v>2.4845088294385099E-3</v>
      </c>
      <c r="E175">
        <v>-77.828571428571394</v>
      </c>
      <c r="F175">
        <f t="shared" si="11"/>
        <v>195.32142857142858</v>
      </c>
      <c r="G175">
        <f t="shared" si="12"/>
        <v>9.52403720093212E-2</v>
      </c>
      <c r="H175">
        <f t="shared" si="13"/>
        <v>0.34744963300990322</v>
      </c>
    </row>
    <row r="176" spans="1:8" x14ac:dyDescent="0.3">
      <c r="A176">
        <v>17500</v>
      </c>
      <c r="B176">
        <v>83.412000000000006</v>
      </c>
      <c r="C176">
        <v>2.653</v>
      </c>
      <c r="D176">
        <f t="shared" si="10"/>
        <v>2.6183074265975822E-3</v>
      </c>
      <c r="E176">
        <v>-78.239999999999995</v>
      </c>
      <c r="F176">
        <f t="shared" si="11"/>
        <v>194.90999999999997</v>
      </c>
      <c r="G176">
        <f t="shared" si="12"/>
        <v>9.3961997077746787E-2</v>
      </c>
      <c r="H176">
        <f t="shared" si="13"/>
        <v>0.36693380204973047</v>
      </c>
    </row>
    <row r="177" spans="1:8" x14ac:dyDescent="0.3">
      <c r="A177">
        <v>17600</v>
      </c>
      <c r="B177">
        <v>81.95</v>
      </c>
      <c r="C177">
        <v>2.6880000000000002</v>
      </c>
      <c r="D177">
        <f t="shared" si="10"/>
        <v>2.6528497409326426E-3</v>
      </c>
      <c r="E177">
        <v>-78.8</v>
      </c>
      <c r="F177">
        <f t="shared" si="11"/>
        <v>194.34999999999997</v>
      </c>
      <c r="G177">
        <f t="shared" si="12"/>
        <v>9.2700781281854008E-2</v>
      </c>
      <c r="H177">
        <f t="shared" si="13"/>
        <v>0.37284584859055897</v>
      </c>
    </row>
    <row r="178" spans="1:8" x14ac:dyDescent="0.3">
      <c r="A178">
        <v>17700</v>
      </c>
      <c r="B178">
        <v>80.525999999999996</v>
      </c>
      <c r="C178">
        <v>2.8695999999999899</v>
      </c>
      <c r="D178">
        <f t="shared" si="10"/>
        <v>2.8320750061682607E-3</v>
      </c>
      <c r="E178">
        <v>-77.86</v>
      </c>
      <c r="F178">
        <f t="shared" si="11"/>
        <v>195.28999999999996</v>
      </c>
      <c r="G178">
        <f t="shared" si="12"/>
        <v>9.1456494301155503E-2</v>
      </c>
      <c r="H178">
        <f t="shared" si="13"/>
        <v>0.39611925236052048</v>
      </c>
    </row>
    <row r="179" spans="1:8" x14ac:dyDescent="0.3">
      <c r="A179">
        <v>17800</v>
      </c>
      <c r="B179">
        <v>79.146000000000001</v>
      </c>
      <c r="C179">
        <v>3.1301999999999999</v>
      </c>
      <c r="D179">
        <f t="shared" si="10"/>
        <v>3.0892672094744631E-3</v>
      </c>
      <c r="E179">
        <v>-74.260000000000005</v>
      </c>
      <c r="F179">
        <f t="shared" si="11"/>
        <v>198.89</v>
      </c>
      <c r="G179">
        <f t="shared" si="12"/>
        <v>9.0228908906667196E-2</v>
      </c>
      <c r="H179">
        <f t="shared" si="13"/>
        <v>0.424271375266705</v>
      </c>
    </row>
    <row r="180" spans="1:8" x14ac:dyDescent="0.3">
      <c r="A180">
        <v>17900</v>
      </c>
      <c r="B180">
        <v>77.825999999999993</v>
      </c>
      <c r="C180">
        <v>4.1097999999999999</v>
      </c>
      <c r="D180">
        <f t="shared" si="10"/>
        <v>4.0560572415494697E-3</v>
      </c>
      <c r="E180">
        <v>-71.28</v>
      </c>
      <c r="F180">
        <f t="shared" si="11"/>
        <v>201.86999999999998</v>
      </c>
      <c r="G180">
        <f t="shared" si="12"/>
        <v>8.9017800919412485E-2</v>
      </c>
      <c r="H180">
        <f t="shared" si="13"/>
        <v>0.54882450860912357</v>
      </c>
    </row>
    <row r="181" spans="1:8" x14ac:dyDescent="0.3">
      <c r="A181">
        <v>18000</v>
      </c>
      <c r="B181">
        <v>76.510000000000005</v>
      </c>
      <c r="C181">
        <v>4.9153333333333302</v>
      </c>
      <c r="D181">
        <f t="shared" si="10"/>
        <v>4.8510568303314384E-3</v>
      </c>
      <c r="E181">
        <v>-71.099999999999994</v>
      </c>
      <c r="F181">
        <f t="shared" si="11"/>
        <v>202.04999999999998</v>
      </c>
      <c r="G181">
        <f t="shared" si="12"/>
        <v>8.7822949169483189E-2</v>
      </c>
      <c r="H181">
        <f t="shared" si="13"/>
        <v>0.65581102361050858</v>
      </c>
    </row>
    <row r="182" spans="1:8" x14ac:dyDescent="0.3">
      <c r="A182">
        <v>18100</v>
      </c>
      <c r="B182">
        <v>75.238</v>
      </c>
      <c r="C182">
        <v>5.0679999999999996</v>
      </c>
      <c r="D182">
        <f t="shared" si="10"/>
        <v>5.0017271157167522E-3</v>
      </c>
      <c r="E182">
        <v>-71</v>
      </c>
      <c r="F182">
        <f t="shared" si="11"/>
        <v>202.14999999999998</v>
      </c>
      <c r="G182">
        <f t="shared" si="12"/>
        <v>8.6644135455649585E-2</v>
      </c>
      <c r="H182">
        <f t="shared" si="13"/>
        <v>0.67584554126046537</v>
      </c>
    </row>
    <row r="183" spans="1:8" x14ac:dyDescent="0.3">
      <c r="A183">
        <v>18200</v>
      </c>
      <c r="B183">
        <v>73.947999999999993</v>
      </c>
      <c r="C183">
        <v>4.8898000000000001</v>
      </c>
      <c r="D183">
        <f t="shared" si="10"/>
        <v>4.8258573895879594E-3</v>
      </c>
      <c r="E183">
        <v>-70.92</v>
      </c>
      <c r="F183">
        <f t="shared" si="11"/>
        <v>202.22999999999996</v>
      </c>
      <c r="G183">
        <f t="shared" si="12"/>
        <v>8.5481144505513473E-2</v>
      </c>
      <c r="H183">
        <f t="shared" si="13"/>
        <v>0.6518236394036252</v>
      </c>
    </row>
    <row r="184" spans="1:8" x14ac:dyDescent="0.3">
      <c r="A184">
        <v>18300</v>
      </c>
      <c r="B184">
        <v>72.73</v>
      </c>
      <c r="C184">
        <v>4.7960000000000003</v>
      </c>
      <c r="D184">
        <f t="shared" si="10"/>
        <v>4.7332839871699981E-3</v>
      </c>
      <c r="E184">
        <v>-70.5</v>
      </c>
      <c r="F184">
        <f t="shared" si="11"/>
        <v>202.64999999999998</v>
      </c>
      <c r="G184">
        <f t="shared" si="12"/>
        <v>8.4333763936195211E-2</v>
      </c>
      <c r="H184">
        <f t="shared" si="13"/>
        <v>0.63799482906266225</v>
      </c>
    </row>
    <row r="185" spans="1:8" x14ac:dyDescent="0.3">
      <c r="A185">
        <v>18400</v>
      </c>
      <c r="B185">
        <v>71.52</v>
      </c>
      <c r="C185">
        <v>5.157</v>
      </c>
      <c r="D185">
        <f t="shared" si="10"/>
        <v>5.0895632864544783E-3</v>
      </c>
      <c r="E185">
        <v>-68.5</v>
      </c>
      <c r="F185">
        <f t="shared" si="11"/>
        <v>204.64999999999998</v>
      </c>
      <c r="G185">
        <f t="shared" si="12"/>
        <v>8.3201784215549024E-2</v>
      </c>
      <c r="H185">
        <f t="shared" si="13"/>
        <v>0.67931307681164954</v>
      </c>
    </row>
    <row r="186" spans="1:8" x14ac:dyDescent="0.3">
      <c r="A186">
        <v>18500</v>
      </c>
      <c r="B186">
        <v>70.318571428571403</v>
      </c>
      <c r="C186">
        <v>5.6204285714285698</v>
      </c>
      <c r="D186">
        <f t="shared" si="10"/>
        <v>5.5469317260582974E-3</v>
      </c>
      <c r="E186">
        <v>-66.342857142857099</v>
      </c>
      <c r="F186">
        <f t="shared" si="11"/>
        <v>206.80714285714288</v>
      </c>
      <c r="G186">
        <f t="shared" si="12"/>
        <v>8.20849986238988E-2</v>
      </c>
      <c r="H186">
        <f t="shared" si="13"/>
        <v>0.73263639738954622</v>
      </c>
    </row>
    <row r="187" spans="1:8" x14ac:dyDescent="0.3">
      <c r="A187">
        <v>18600</v>
      </c>
      <c r="B187">
        <v>69.1875</v>
      </c>
      <c r="C187">
        <v>5.58725</v>
      </c>
      <c r="D187">
        <f t="shared" si="10"/>
        <v>5.5141870219590425E-3</v>
      </c>
      <c r="E187">
        <v>-61.274999999999999</v>
      </c>
      <c r="F187">
        <f t="shared" si="11"/>
        <v>211.87499999999997</v>
      </c>
      <c r="G187">
        <f t="shared" si="12"/>
        <v>8.0983203216286964E-2</v>
      </c>
      <c r="H187">
        <f t="shared" si="13"/>
        <v>0.71089094279556941</v>
      </c>
    </row>
    <row r="188" spans="1:8" x14ac:dyDescent="0.3">
      <c r="A188">
        <v>18700</v>
      </c>
      <c r="B188">
        <v>68.0833333333333</v>
      </c>
      <c r="C188">
        <v>5.9256666666666602</v>
      </c>
      <c r="D188">
        <f t="shared" si="10"/>
        <v>5.8481783041368467E-3</v>
      </c>
      <c r="E188">
        <v>-59.7</v>
      </c>
      <c r="F188">
        <f t="shared" si="11"/>
        <v>213.45</v>
      </c>
      <c r="G188">
        <f t="shared" si="12"/>
        <v>7.9896196785230994E-2</v>
      </c>
      <c r="H188">
        <f t="shared" si="13"/>
        <v>0.74838599380416004</v>
      </c>
    </row>
    <row r="189" spans="1:8" x14ac:dyDescent="0.3">
      <c r="A189">
        <v>18800</v>
      </c>
      <c r="B189">
        <v>67.02</v>
      </c>
      <c r="C189">
        <v>6.2060000000000004</v>
      </c>
      <c r="D189">
        <f t="shared" si="10"/>
        <v>6.1248457932395759E-3</v>
      </c>
      <c r="E189">
        <v>-60.3</v>
      </c>
      <c r="F189">
        <f t="shared" si="11"/>
        <v>212.84999999999997</v>
      </c>
      <c r="G189">
        <f t="shared" si="12"/>
        <v>7.8823780823978992E-2</v>
      </c>
      <c r="H189">
        <f t="shared" si="13"/>
        <v>0.78600029524237269</v>
      </c>
    </row>
    <row r="190" spans="1:8" x14ac:dyDescent="0.3">
      <c r="A190">
        <v>18900</v>
      </c>
      <c r="B190">
        <v>65.94</v>
      </c>
      <c r="C190">
        <v>6.6817142857142802</v>
      </c>
      <c r="D190">
        <f t="shared" si="10"/>
        <v>6.5943392901201877E-3</v>
      </c>
      <c r="E190">
        <v>-60.3</v>
      </c>
      <c r="F190">
        <f t="shared" si="11"/>
        <v>212.84999999999997</v>
      </c>
      <c r="G190">
        <f t="shared" si="12"/>
        <v>7.7765759490258948E-2</v>
      </c>
      <c r="H190">
        <f t="shared" si="13"/>
        <v>0.84625030636426091</v>
      </c>
    </row>
    <row r="191" spans="1:8" x14ac:dyDescent="0.3">
      <c r="A191">
        <v>19000</v>
      </c>
      <c r="B191">
        <v>64.893999999999906</v>
      </c>
      <c r="C191">
        <v>6.7511999999999999</v>
      </c>
      <c r="D191">
        <f t="shared" si="10"/>
        <v>6.6629163582531455E-3</v>
      </c>
      <c r="E191">
        <v>-60.2</v>
      </c>
      <c r="F191">
        <f t="shared" si="11"/>
        <v>212.95</v>
      </c>
      <c r="G191">
        <f t="shared" si="12"/>
        <v>7.6721939570514638E-2</v>
      </c>
      <c r="H191">
        <f t="shared" si="13"/>
        <v>0.85464926191915791</v>
      </c>
    </row>
    <row r="192" spans="1:8" x14ac:dyDescent="0.3">
      <c r="A192">
        <v>19100</v>
      </c>
      <c r="B192">
        <v>63.851666666666603</v>
      </c>
      <c r="C192">
        <v>7.0385</v>
      </c>
      <c r="D192">
        <f t="shared" si="10"/>
        <v>6.9464594127806563E-3</v>
      </c>
      <c r="E192">
        <v>-60.5</v>
      </c>
      <c r="F192">
        <f t="shared" si="11"/>
        <v>212.64999999999998</v>
      </c>
      <c r="G192">
        <f t="shared" si="12"/>
        <v>7.5692130444620892E-2</v>
      </c>
      <c r="H192">
        <f t="shared" si="13"/>
        <v>0.89227622318412247</v>
      </c>
    </row>
    <row r="193" spans="1:8" x14ac:dyDescent="0.3">
      <c r="A193">
        <v>19200</v>
      </c>
      <c r="B193">
        <v>62.838749999999997</v>
      </c>
      <c r="C193">
        <v>7.0306249999999997</v>
      </c>
      <c r="D193">
        <f t="shared" si="10"/>
        <v>6.9386873920552674E-3</v>
      </c>
      <c r="E193">
        <v>-61</v>
      </c>
      <c r="F193">
        <f t="shared" si="11"/>
        <v>212.14999999999998</v>
      </c>
      <c r="G193">
        <f t="shared" si="12"/>
        <v>7.467614405107352E-2</v>
      </c>
      <c r="H193">
        <f t="shared" si="13"/>
        <v>0.89337848745693915</v>
      </c>
    </row>
    <row r="194" spans="1:8" x14ac:dyDescent="0.3">
      <c r="A194">
        <v>19300</v>
      </c>
      <c r="B194">
        <v>61.845333333333301</v>
      </c>
      <c r="C194">
        <v>6.8981333333333303</v>
      </c>
      <c r="D194">
        <f t="shared" si="10"/>
        <v>6.8079282835759487E-3</v>
      </c>
      <c r="E194">
        <v>-61.806666666666601</v>
      </c>
      <c r="F194">
        <f t="shared" si="11"/>
        <v>211.34333333333336</v>
      </c>
      <c r="G194">
        <f t="shared" si="12"/>
        <v>7.3673794852645469E-2</v>
      </c>
      <c r="H194">
        <f t="shared" si="13"/>
        <v>0.8798884645799584</v>
      </c>
    </row>
    <row r="195" spans="1:8" x14ac:dyDescent="0.3">
      <c r="A195">
        <v>19400</v>
      </c>
      <c r="B195">
        <v>60.857142857142797</v>
      </c>
      <c r="C195">
        <v>7.0115714285714201</v>
      </c>
      <c r="D195">
        <f t="shared" ref="D195:D258" si="14">C195/1013.25</f>
        <v>6.9198829790983671E-3</v>
      </c>
      <c r="E195">
        <v>-62.771428571428501</v>
      </c>
      <c r="F195">
        <f t="shared" ref="F195:F258" si="15">E195+273.15</f>
        <v>210.37857142857149</v>
      </c>
      <c r="G195">
        <f t="shared" ref="G195:G258" si="16">EXP((-A195*0.001)/7.4)</f>
        <v>7.2684899802504727E-2</v>
      </c>
      <c r="H195">
        <f t="shared" ref="H195:H258" si="17">(D195*273.15*100)/F195</f>
        <v>0.89845939294367494</v>
      </c>
    </row>
    <row r="196" spans="1:8" x14ac:dyDescent="0.3">
      <c r="A196">
        <v>19500</v>
      </c>
      <c r="B196">
        <v>59.8557142857142</v>
      </c>
      <c r="C196">
        <v>6.9171428571428502</v>
      </c>
      <c r="D196">
        <f t="shared" si="14"/>
        <v>6.8266892249127563E-3</v>
      </c>
      <c r="E196">
        <v>-63.728571428571399</v>
      </c>
      <c r="F196">
        <f t="shared" si="15"/>
        <v>209.42142857142858</v>
      </c>
      <c r="G196">
        <f t="shared" si="16"/>
        <v>7.1709278310786662E-2</v>
      </c>
      <c r="H196">
        <f t="shared" si="17"/>
        <v>0.89041039138404687</v>
      </c>
    </row>
    <row r="197" spans="1:8" x14ac:dyDescent="0.3">
      <c r="A197">
        <v>19600</v>
      </c>
      <c r="B197">
        <v>58.9033333333333</v>
      </c>
      <c r="C197">
        <v>6.9589999999999996</v>
      </c>
      <c r="D197">
        <f t="shared" si="14"/>
        <v>6.8679990130767329E-3</v>
      </c>
      <c r="E197">
        <v>-63.533333333333303</v>
      </c>
      <c r="F197">
        <f t="shared" si="15"/>
        <v>209.61666666666667</v>
      </c>
      <c r="G197">
        <f t="shared" si="16"/>
        <v>7.0746752211614861E-2</v>
      </c>
      <c r="H197">
        <f t="shared" si="17"/>
        <v>0.89496410769909018</v>
      </c>
    </row>
    <row r="198" spans="1:8" x14ac:dyDescent="0.3">
      <c r="A198">
        <v>19700</v>
      </c>
      <c r="B198">
        <v>57.96</v>
      </c>
      <c r="C198">
        <v>6.8070000000000004</v>
      </c>
      <c r="D198">
        <f t="shared" si="14"/>
        <v>6.7179866765358998E-3</v>
      </c>
      <c r="E198">
        <v>-61.6</v>
      </c>
      <c r="F198">
        <f t="shared" si="15"/>
        <v>211.54999999999998</v>
      </c>
      <c r="G198">
        <f t="shared" si="16"/>
        <v>6.979714573056521E-2</v>
      </c>
      <c r="H198">
        <f t="shared" si="17"/>
        <v>0.8674157696505701</v>
      </c>
    </row>
    <row r="199" spans="1:8" x14ac:dyDescent="0.3">
      <c r="A199">
        <v>19800</v>
      </c>
      <c r="B199">
        <v>57.01</v>
      </c>
      <c r="C199">
        <v>6.9409999999999998</v>
      </c>
      <c r="D199">
        <f t="shared" si="14"/>
        <v>6.8502343942758448E-3</v>
      </c>
      <c r="E199">
        <v>-61.74</v>
      </c>
      <c r="F199">
        <f t="shared" si="15"/>
        <v>211.40999999999997</v>
      </c>
      <c r="G199">
        <f t="shared" si="16"/>
        <v>6.8860285452565992E-2</v>
      </c>
      <c r="H199">
        <f t="shared" si="17"/>
        <v>0.88507711309609161</v>
      </c>
    </row>
    <row r="200" spans="1:8" x14ac:dyDescent="0.3">
      <c r="A200">
        <v>19900</v>
      </c>
      <c r="B200">
        <v>56.11</v>
      </c>
      <c r="C200">
        <v>7.0259999999999998</v>
      </c>
      <c r="D200">
        <f t="shared" si="14"/>
        <v>6.9341228719467058E-3</v>
      </c>
      <c r="E200">
        <v>-62.1</v>
      </c>
      <c r="F200">
        <f t="shared" si="15"/>
        <v>211.04999999999998</v>
      </c>
      <c r="G200">
        <f t="shared" si="16"/>
        <v>6.7936000290229517E-2</v>
      </c>
      <c r="H200">
        <f t="shared" si="17"/>
        <v>0.89744404760589558</v>
      </c>
    </row>
    <row r="201" spans="1:8" x14ac:dyDescent="0.3">
      <c r="A201">
        <v>20000</v>
      </c>
      <c r="B201">
        <v>55.2</v>
      </c>
      <c r="C201">
        <v>7.13</v>
      </c>
      <c r="D201">
        <f t="shared" si="14"/>
        <v>7.0367628916851712E-3</v>
      </c>
      <c r="E201">
        <v>-61.4</v>
      </c>
      <c r="F201">
        <f t="shared" si="15"/>
        <v>211.74999999999997</v>
      </c>
      <c r="G201">
        <f t="shared" si="16"/>
        <v>6.7024121452608443E-2</v>
      </c>
      <c r="H201">
        <f t="shared" si="17"/>
        <v>0.9077174894280069</v>
      </c>
    </row>
    <row r="202" spans="1:8" x14ac:dyDescent="0.3">
      <c r="A202">
        <v>20100</v>
      </c>
      <c r="B202">
        <v>54.335999999999999</v>
      </c>
      <c r="C202">
        <v>7.3920000000000003</v>
      </c>
      <c r="D202">
        <f t="shared" si="14"/>
        <v>7.2953367875647672E-3</v>
      </c>
      <c r="E202">
        <v>-61.4</v>
      </c>
      <c r="F202">
        <f t="shared" si="15"/>
        <v>211.74999999999997</v>
      </c>
      <c r="G202">
        <f t="shared" si="16"/>
        <v>6.6124482414371299E-2</v>
      </c>
      <c r="H202">
        <f t="shared" si="17"/>
        <v>0.9410726061503264</v>
      </c>
    </row>
    <row r="203" spans="1:8" x14ac:dyDescent="0.3">
      <c r="A203">
        <v>20200</v>
      </c>
      <c r="B203">
        <v>53.44</v>
      </c>
      <c r="C203">
        <v>7.4169999999999998</v>
      </c>
      <c r="D203">
        <f t="shared" si="14"/>
        <v>7.3200098692326673E-3</v>
      </c>
      <c r="E203">
        <v>-60.4</v>
      </c>
      <c r="F203">
        <f t="shared" si="15"/>
        <v>212.74999999999997</v>
      </c>
      <c r="G203">
        <f t="shared" si="16"/>
        <v>6.5236918885392334E-2</v>
      </c>
      <c r="H203">
        <f t="shared" si="17"/>
        <v>0.93981701329302147</v>
      </c>
    </row>
    <row r="204" spans="1:8" x14ac:dyDescent="0.3">
      <c r="A204">
        <v>20300</v>
      </c>
      <c r="B204">
        <v>52.599999999999902</v>
      </c>
      <c r="C204">
        <v>7.8624999999999998</v>
      </c>
      <c r="D204">
        <f t="shared" si="14"/>
        <v>7.7596841845546504E-3</v>
      </c>
      <c r="E204">
        <v>-60.1</v>
      </c>
      <c r="F204">
        <f t="shared" si="15"/>
        <v>213.04999999999998</v>
      </c>
      <c r="G204">
        <f t="shared" si="16"/>
        <v>6.4361268780748895E-2</v>
      </c>
      <c r="H204">
        <f t="shared" si="17"/>
        <v>0.99486399202586373</v>
      </c>
    </row>
    <row r="205" spans="1:8" x14ac:dyDescent="0.3">
      <c r="A205">
        <v>20400</v>
      </c>
      <c r="B205">
        <v>51.758000000000003</v>
      </c>
      <c r="C205">
        <v>8.1223999999999901</v>
      </c>
      <c r="D205">
        <f t="shared" si="14"/>
        <v>8.0161855415741331E-3</v>
      </c>
      <c r="E205">
        <v>-59.8</v>
      </c>
      <c r="F205">
        <f t="shared" si="15"/>
        <v>213.34999999999997</v>
      </c>
      <c r="G205">
        <f t="shared" si="16"/>
        <v>6.3497372191122184E-2</v>
      </c>
      <c r="H205">
        <f t="shared" si="17"/>
        <v>1.0263047015144011</v>
      </c>
    </row>
    <row r="206" spans="1:8" x14ac:dyDescent="0.3">
      <c r="A206">
        <v>20500</v>
      </c>
      <c r="B206">
        <v>50.935000000000002</v>
      </c>
      <c r="C206">
        <v>8.2573749999999997</v>
      </c>
      <c r="D206">
        <f t="shared" si="14"/>
        <v>8.1493955094991358E-3</v>
      </c>
      <c r="E206">
        <v>-60.5</v>
      </c>
      <c r="F206">
        <f t="shared" si="15"/>
        <v>212.64999999999998</v>
      </c>
      <c r="G206">
        <f t="shared" si="16"/>
        <v>6.264507135359465E-2</v>
      </c>
      <c r="H206">
        <f t="shared" si="17"/>
        <v>1.0467939729224967</v>
      </c>
    </row>
    <row r="207" spans="1:8" x14ac:dyDescent="0.3">
      <c r="A207">
        <v>20600</v>
      </c>
      <c r="B207">
        <v>50.15</v>
      </c>
      <c r="C207">
        <v>8.3930000000000007</v>
      </c>
      <c r="D207">
        <f t="shared" si="14"/>
        <v>8.2832469775474971E-3</v>
      </c>
      <c r="E207">
        <v>-60</v>
      </c>
      <c r="F207">
        <f t="shared" si="15"/>
        <v>213.14999999999998</v>
      </c>
      <c r="G207">
        <f t="shared" si="16"/>
        <v>6.180421062283975E-2</v>
      </c>
      <c r="H207">
        <f t="shared" si="17"/>
        <v>1.0614913966301192</v>
      </c>
    </row>
    <row r="208" spans="1:8" x14ac:dyDescent="0.3">
      <c r="A208">
        <v>20700</v>
      </c>
      <c r="B208">
        <v>49.35</v>
      </c>
      <c r="C208">
        <v>8.5876666666666601</v>
      </c>
      <c r="D208">
        <f t="shared" si="14"/>
        <v>8.4753680401348733E-3</v>
      </c>
      <c r="E208">
        <v>-58.533333333333303</v>
      </c>
      <c r="F208">
        <f t="shared" si="15"/>
        <v>214.61666666666667</v>
      </c>
      <c r="G208">
        <f t="shared" si="16"/>
        <v>6.0974636442698495E-2</v>
      </c>
      <c r="H208">
        <f t="shared" si="17"/>
        <v>1.0786891885514516</v>
      </c>
    </row>
    <row r="209" spans="1:8" x14ac:dyDescent="0.3">
      <c r="A209">
        <v>20800</v>
      </c>
      <c r="B209">
        <v>48.57</v>
      </c>
      <c r="C209">
        <v>9.1020000000000003</v>
      </c>
      <c r="D209">
        <f t="shared" si="14"/>
        <v>8.9829755736491497E-3</v>
      </c>
      <c r="E209">
        <v>-57.6</v>
      </c>
      <c r="F209">
        <f t="shared" si="15"/>
        <v>215.54999999999998</v>
      </c>
      <c r="G209">
        <f t="shared" si="16"/>
        <v>6.0156197318137081E-2</v>
      </c>
      <c r="H209">
        <f t="shared" si="17"/>
        <v>1.1383436687275645</v>
      </c>
    </row>
    <row r="210" spans="1:8" x14ac:dyDescent="0.3">
      <c r="A210">
        <v>20900</v>
      </c>
      <c r="B210">
        <v>47.814999999999998</v>
      </c>
      <c r="C210">
        <v>9.2881250000000009</v>
      </c>
      <c r="D210">
        <f t="shared" si="14"/>
        <v>9.1666666666666667E-3</v>
      </c>
      <c r="E210">
        <v>-57.962499999999999</v>
      </c>
      <c r="F210">
        <f t="shared" si="15"/>
        <v>215.18749999999997</v>
      </c>
      <c r="G210">
        <f t="shared" si="16"/>
        <v>5.934874378758153E-2</v>
      </c>
      <c r="H210">
        <f t="shared" si="17"/>
        <v>1.1635782747603836</v>
      </c>
    </row>
    <row r="211" spans="1:8" x14ac:dyDescent="0.3">
      <c r="A211">
        <v>21000</v>
      </c>
      <c r="B211">
        <v>47.07</v>
      </c>
      <c r="C211">
        <v>9.5034999999999901</v>
      </c>
      <c r="D211">
        <f t="shared" si="14"/>
        <v>9.3792252652356179E-3</v>
      </c>
      <c r="E211">
        <v>-57.674999999999997</v>
      </c>
      <c r="F211">
        <f t="shared" si="15"/>
        <v>215.47499999999997</v>
      </c>
      <c r="G211">
        <f t="shared" si="16"/>
        <v>5.8552128395623078E-2</v>
      </c>
      <c r="H211">
        <f t="shared" si="17"/>
        <v>1.1889710552032067</v>
      </c>
    </row>
    <row r="212" spans="1:8" x14ac:dyDescent="0.3">
      <c r="A212">
        <v>21100</v>
      </c>
      <c r="B212">
        <v>46.298000000000002</v>
      </c>
      <c r="C212">
        <v>9.625</v>
      </c>
      <c r="D212">
        <f t="shared" si="14"/>
        <v>9.4991364421416237E-3</v>
      </c>
      <c r="E212">
        <v>-57.6</v>
      </c>
      <c r="F212">
        <f t="shared" si="15"/>
        <v>215.54999999999998</v>
      </c>
      <c r="G212">
        <f t="shared" si="16"/>
        <v>5.7766205666090212E-2</v>
      </c>
      <c r="H212">
        <f t="shared" si="17"/>
        <v>1.2037527808726443</v>
      </c>
    </row>
    <row r="213" spans="1:8" x14ac:dyDescent="0.3">
      <c r="A213">
        <v>21200</v>
      </c>
      <c r="B213">
        <v>45.576000000000001</v>
      </c>
      <c r="C213">
        <v>9.6279000000000003</v>
      </c>
      <c r="D213">
        <f t="shared" si="14"/>
        <v>9.5019985196151003E-3</v>
      </c>
      <c r="E213">
        <v>-57.19</v>
      </c>
      <c r="F213">
        <f t="shared" si="15"/>
        <v>215.95999999999998</v>
      </c>
      <c r="G213">
        <f t="shared" si="16"/>
        <v>5.6990832075482313E-2</v>
      </c>
      <c r="H213">
        <f t="shared" si="17"/>
        <v>1.2018294571369073</v>
      </c>
    </row>
    <row r="214" spans="1:8" x14ac:dyDescent="0.3">
      <c r="A214">
        <v>21300</v>
      </c>
      <c r="B214">
        <v>44.88</v>
      </c>
      <c r="C214">
        <v>9.7959999999999994</v>
      </c>
      <c r="D214">
        <f t="shared" si="14"/>
        <v>9.6679003207500603E-3</v>
      </c>
      <c r="E214">
        <v>-56.1</v>
      </c>
      <c r="F214">
        <f t="shared" si="15"/>
        <v>217.04999999999998</v>
      </c>
      <c r="G214">
        <f t="shared" si="16"/>
        <v>5.6225866026759455E-2</v>
      </c>
      <c r="H214">
        <f t="shared" si="17"/>
        <v>1.2166721827288085</v>
      </c>
    </row>
    <row r="215" spans="1:8" x14ac:dyDescent="0.3">
      <c r="A215">
        <v>21400</v>
      </c>
      <c r="B215">
        <v>44.161999999999999</v>
      </c>
      <c r="C215">
        <v>10.195600000000001</v>
      </c>
      <c r="D215">
        <f t="shared" si="14"/>
        <v>1.006227485812978E-2</v>
      </c>
      <c r="E215">
        <v>-55.66</v>
      </c>
      <c r="F215">
        <f t="shared" si="15"/>
        <v>217.48999999999998</v>
      </c>
      <c r="G215">
        <f t="shared" si="16"/>
        <v>5.5471167823484518E-2</v>
      </c>
      <c r="H215">
        <f t="shared" si="17"/>
        <v>1.2637410352191591</v>
      </c>
    </row>
    <row r="216" spans="1:8" x14ac:dyDescent="0.3">
      <c r="A216">
        <v>21500</v>
      </c>
      <c r="B216">
        <v>43.475999999999999</v>
      </c>
      <c r="C216">
        <v>10.5464</v>
      </c>
      <c r="D216">
        <f t="shared" si="14"/>
        <v>1.0408487540093757E-2</v>
      </c>
      <c r="E216">
        <v>-55.46</v>
      </c>
      <c r="F216">
        <f t="shared" si="15"/>
        <v>217.68999999999997</v>
      </c>
      <c r="G216">
        <f t="shared" si="16"/>
        <v>5.4726599644311959E-2</v>
      </c>
      <c r="H216">
        <f t="shared" si="17"/>
        <v>1.3060215772780606</v>
      </c>
    </row>
    <row r="217" spans="1:8" x14ac:dyDescent="0.3">
      <c r="A217">
        <v>21600</v>
      </c>
      <c r="B217">
        <v>42.8</v>
      </c>
      <c r="C217">
        <v>10.617000000000001</v>
      </c>
      <c r="D217">
        <f t="shared" si="14"/>
        <v>1.0478164322723908E-2</v>
      </c>
      <c r="E217">
        <v>-55.5</v>
      </c>
      <c r="F217">
        <f t="shared" si="15"/>
        <v>217.64999999999998</v>
      </c>
      <c r="G217">
        <f t="shared" si="16"/>
        <v>5.3992025517819148E-2</v>
      </c>
      <c r="H217">
        <f t="shared" si="17"/>
        <v>1.3150060118318565</v>
      </c>
    </row>
    <row r="218" spans="1:8" x14ac:dyDescent="0.3">
      <c r="A218">
        <v>21700</v>
      </c>
      <c r="B218">
        <v>42.16</v>
      </c>
      <c r="C218">
        <v>10.73</v>
      </c>
      <c r="D218">
        <f t="shared" si="14"/>
        <v>1.0589686651862818E-2</v>
      </c>
      <c r="E218">
        <v>-55.3</v>
      </c>
      <c r="F218">
        <f t="shared" si="15"/>
        <v>217.84999999999997</v>
      </c>
      <c r="G218">
        <f t="shared" si="16"/>
        <v>5.3267311297675729E-2</v>
      </c>
      <c r="H218">
        <f t="shared" si="17"/>
        <v>1.3277819182723565</v>
      </c>
    </row>
    <row r="219" spans="1:8" x14ac:dyDescent="0.3">
      <c r="A219">
        <v>21800</v>
      </c>
      <c r="B219">
        <v>41.485999999999997</v>
      </c>
      <c r="C219">
        <v>10.905199999999899</v>
      </c>
      <c r="D219">
        <f t="shared" si="14"/>
        <v>1.0762595608191363E-2</v>
      </c>
      <c r="E219">
        <v>-55.42</v>
      </c>
      <c r="F219">
        <f t="shared" si="15"/>
        <v>217.72999999999996</v>
      </c>
      <c r="G219">
        <f t="shared" si="16"/>
        <v>5.2552324638145916E-2</v>
      </c>
      <c r="H219">
        <f t="shared" si="17"/>
        <v>1.3502057550073352</v>
      </c>
    </row>
    <row r="220" spans="1:8" x14ac:dyDescent="0.3">
      <c r="A220">
        <v>21900</v>
      </c>
      <c r="B220">
        <v>40.840000000000003</v>
      </c>
      <c r="C220">
        <v>11.159000000000001</v>
      </c>
      <c r="D220">
        <f t="shared" si="14"/>
        <v>1.1013076733283987E-2</v>
      </c>
      <c r="E220">
        <v>-55.5</v>
      </c>
      <c r="F220">
        <f t="shared" si="15"/>
        <v>217.64999999999998</v>
      </c>
      <c r="G220">
        <f t="shared" si="16"/>
        <v>5.1846934969920017E-2</v>
      </c>
      <c r="H220">
        <f t="shared" si="17"/>
        <v>1.3821373350317121</v>
      </c>
    </row>
    <row r="221" spans="1:8" x14ac:dyDescent="0.3">
      <c r="A221">
        <v>22000</v>
      </c>
      <c r="B221">
        <v>40.197499999999998</v>
      </c>
      <c r="C221">
        <v>11.313000000000001</v>
      </c>
      <c r="D221">
        <f t="shared" si="14"/>
        <v>1.1165062916358253E-2</v>
      </c>
      <c r="E221">
        <v>-55.8</v>
      </c>
      <c r="F221">
        <f t="shared" si="15"/>
        <v>217.34999999999997</v>
      </c>
      <c r="G221">
        <f t="shared" si="16"/>
        <v>5.1151013476269977E-2</v>
      </c>
      <c r="H221">
        <f t="shared" si="17"/>
        <v>1.4031455880392254</v>
      </c>
    </row>
    <row r="222" spans="1:8" x14ac:dyDescent="0.3">
      <c r="A222">
        <v>22100</v>
      </c>
      <c r="B222">
        <v>39.558</v>
      </c>
      <c r="C222">
        <v>11.494999999999999</v>
      </c>
      <c r="D222">
        <f t="shared" si="14"/>
        <v>1.1344682950900567E-2</v>
      </c>
      <c r="E222">
        <v>-56.6</v>
      </c>
      <c r="F222">
        <f t="shared" si="15"/>
        <v>216.54999999999998</v>
      </c>
      <c r="G222">
        <f t="shared" si="16"/>
        <v>5.0464433069525146E-2</v>
      </c>
      <c r="H222">
        <f t="shared" si="17"/>
        <v>1.430985983855225</v>
      </c>
    </row>
    <row r="223" spans="1:8" x14ac:dyDescent="0.3">
      <c r="A223">
        <v>22200</v>
      </c>
      <c r="B223">
        <v>38.946666666666601</v>
      </c>
      <c r="C223">
        <v>11.238</v>
      </c>
      <c r="D223">
        <f t="shared" si="14"/>
        <v>1.1091043671354552E-2</v>
      </c>
      <c r="E223">
        <v>-56.983333333333299</v>
      </c>
      <c r="F223">
        <f t="shared" si="15"/>
        <v>216.16666666666669</v>
      </c>
      <c r="G223">
        <f t="shared" si="16"/>
        <v>4.9787068367863965E-2</v>
      </c>
      <c r="H223">
        <f t="shared" si="17"/>
        <v>1.4014735137226655</v>
      </c>
    </row>
    <row r="224" spans="1:8" x14ac:dyDescent="0.3">
      <c r="A224">
        <v>22300</v>
      </c>
      <c r="B224">
        <v>38.33</v>
      </c>
      <c r="C224">
        <v>11.351000000000001</v>
      </c>
      <c r="D224">
        <f t="shared" si="14"/>
        <v>1.1202566000493462E-2</v>
      </c>
      <c r="E224">
        <v>-57.8</v>
      </c>
      <c r="F224">
        <f t="shared" si="15"/>
        <v>215.34999999999997</v>
      </c>
      <c r="G224">
        <f t="shared" si="16"/>
        <v>4.9118795672416789E-2</v>
      </c>
      <c r="H224">
        <f t="shared" si="17"/>
        <v>1.4209337836242346</v>
      </c>
    </row>
    <row r="225" spans="1:8" x14ac:dyDescent="0.3">
      <c r="A225">
        <v>22400</v>
      </c>
      <c r="B225">
        <v>37.738</v>
      </c>
      <c r="C225">
        <v>11.62</v>
      </c>
      <c r="D225">
        <f t="shared" si="14"/>
        <v>1.1468048359240068E-2</v>
      </c>
      <c r="E225">
        <v>-57.5</v>
      </c>
      <c r="F225">
        <f t="shared" si="15"/>
        <v>215.64999999999998</v>
      </c>
      <c r="G225">
        <f t="shared" si="16"/>
        <v>4.8459492944676517E-2</v>
      </c>
      <c r="H225">
        <f t="shared" si="17"/>
        <v>1.4525840061796542</v>
      </c>
    </row>
    <row r="226" spans="1:8" x14ac:dyDescent="0.3">
      <c r="A226">
        <v>22500</v>
      </c>
      <c r="B226">
        <v>37.149090909090901</v>
      </c>
      <c r="C226">
        <v>11.649272727272701</v>
      </c>
      <c r="D226">
        <f t="shared" si="14"/>
        <v>1.1496938294865729E-2</v>
      </c>
      <c r="E226">
        <v>-57.072727272727199</v>
      </c>
      <c r="F226">
        <f t="shared" si="15"/>
        <v>216.07727272727277</v>
      </c>
      <c r="G226">
        <f t="shared" si="16"/>
        <v>4.7809039784211999E-2</v>
      </c>
      <c r="H226">
        <f t="shared" si="17"/>
        <v>1.4533637228966194</v>
      </c>
    </row>
    <row r="227" spans="1:8" x14ac:dyDescent="0.3">
      <c r="A227">
        <v>22600</v>
      </c>
      <c r="B227">
        <v>36.57</v>
      </c>
      <c r="C227">
        <v>11.585000000000001</v>
      </c>
      <c r="D227">
        <f t="shared" si="14"/>
        <v>1.143350604490501E-2</v>
      </c>
      <c r="E227">
        <v>-56.7</v>
      </c>
      <c r="F227">
        <f t="shared" si="15"/>
        <v>216.45</v>
      </c>
      <c r="G227">
        <f t="shared" si="16"/>
        <v>4.7167317406680766E-2</v>
      </c>
      <c r="H227">
        <f t="shared" si="17"/>
        <v>1.4428561682447696</v>
      </c>
    </row>
    <row r="228" spans="1:8" x14ac:dyDescent="0.3">
      <c r="A228">
        <v>22700</v>
      </c>
      <c r="B228">
        <v>35.967142857142797</v>
      </c>
      <c r="C228">
        <v>11.8305714285714</v>
      </c>
      <c r="D228">
        <f t="shared" si="14"/>
        <v>1.1675866201402813E-2</v>
      </c>
      <c r="E228">
        <v>-56.6</v>
      </c>
      <c r="F228">
        <f t="shared" si="15"/>
        <v>216.54999999999998</v>
      </c>
      <c r="G228">
        <f t="shared" si="16"/>
        <v>4.6534208622137037E-2</v>
      </c>
      <c r="H228">
        <f t="shared" si="17"/>
        <v>1.4727604954574824</v>
      </c>
    </row>
    <row r="229" spans="1:8" x14ac:dyDescent="0.3">
      <c r="A229">
        <v>22800</v>
      </c>
      <c r="B229">
        <v>35.42</v>
      </c>
      <c r="C229">
        <v>11.763999999999999</v>
      </c>
      <c r="D229">
        <f t="shared" si="14"/>
        <v>1.1610165309647175E-2</v>
      </c>
      <c r="E229">
        <v>-56.6</v>
      </c>
      <c r="F229">
        <f t="shared" si="15"/>
        <v>216.54999999999998</v>
      </c>
      <c r="G229">
        <f t="shared" si="16"/>
        <v>4.5909597813630618E-2</v>
      </c>
      <c r="H229">
        <f t="shared" si="17"/>
        <v>1.4644731721681488</v>
      </c>
    </row>
    <row r="230" spans="1:8" x14ac:dyDescent="0.3">
      <c r="A230">
        <v>22900</v>
      </c>
      <c r="B230">
        <v>34.8642857142857</v>
      </c>
      <c r="C230">
        <v>11.99</v>
      </c>
      <c r="D230">
        <f t="shared" si="14"/>
        <v>1.1833209967924994E-2</v>
      </c>
      <c r="E230">
        <v>-57</v>
      </c>
      <c r="F230">
        <f t="shared" si="15"/>
        <v>216.14999999999998</v>
      </c>
      <c r="G230">
        <f t="shared" si="16"/>
        <v>4.5293370916093249E-2</v>
      </c>
      <c r="H230">
        <f t="shared" si="17"/>
        <v>1.4953695594442342</v>
      </c>
    </row>
    <row r="231" spans="1:8" x14ac:dyDescent="0.3">
      <c r="A231">
        <v>23000</v>
      </c>
      <c r="B231">
        <v>34.314999999999998</v>
      </c>
      <c r="C231">
        <v>11.844999999999899</v>
      </c>
      <c r="D231">
        <f t="shared" si="14"/>
        <v>1.1690106094251073E-2</v>
      </c>
      <c r="E231">
        <v>-56.9</v>
      </c>
      <c r="F231">
        <f t="shared" si="15"/>
        <v>216.24999999999997</v>
      </c>
      <c r="G231">
        <f t="shared" si="16"/>
        <v>4.4685415395508278E-2</v>
      </c>
      <c r="H231">
        <f t="shared" si="17"/>
        <v>1.4766023027258639</v>
      </c>
    </row>
    <row r="232" spans="1:8" x14ac:dyDescent="0.3">
      <c r="A232">
        <v>23100</v>
      </c>
      <c r="B232">
        <v>33.776249999999997</v>
      </c>
      <c r="C232">
        <v>11.944125</v>
      </c>
      <c r="D232">
        <f t="shared" si="14"/>
        <v>1.1787934863064396E-2</v>
      </c>
      <c r="E232">
        <v>-56.712499999999999</v>
      </c>
      <c r="F232">
        <f t="shared" si="15"/>
        <v>216.43749999999997</v>
      </c>
      <c r="G232">
        <f t="shared" si="16"/>
        <v>4.4085620228359872E-2</v>
      </c>
      <c r="H232">
        <f t="shared" si="17"/>
        <v>1.4876693770007694</v>
      </c>
    </row>
    <row r="233" spans="1:8" x14ac:dyDescent="0.3">
      <c r="A233">
        <v>23200</v>
      </c>
      <c r="B233">
        <v>33.256</v>
      </c>
      <c r="C233">
        <v>11.813599999999999</v>
      </c>
      <c r="D233">
        <f t="shared" si="14"/>
        <v>1.1659116703676288E-2</v>
      </c>
      <c r="E233">
        <v>-57.1</v>
      </c>
      <c r="F233">
        <f t="shared" si="15"/>
        <v>216.04999999999998</v>
      </c>
      <c r="G233">
        <f t="shared" si="16"/>
        <v>4.3493875881358272E-2</v>
      </c>
      <c r="H233">
        <f t="shared" si="17"/>
        <v>1.4740512509183883</v>
      </c>
    </row>
    <row r="234" spans="1:8" x14ac:dyDescent="0.3">
      <c r="A234">
        <v>23300</v>
      </c>
      <c r="B234">
        <v>32.729999999999997</v>
      </c>
      <c r="C234">
        <v>12.028</v>
      </c>
      <c r="D234">
        <f t="shared" si="14"/>
        <v>1.1870713052060203E-2</v>
      </c>
      <c r="E234">
        <v>-57.633333333333297</v>
      </c>
      <c r="F234">
        <f t="shared" si="15"/>
        <v>215.51666666666668</v>
      </c>
      <c r="G234">
        <f t="shared" si="16"/>
        <v>4.2910074291436971E-2</v>
      </c>
      <c r="H234">
        <f t="shared" si="17"/>
        <v>1.5045171774047996</v>
      </c>
    </row>
    <row r="235" spans="1:8" x14ac:dyDescent="0.3">
      <c r="A235">
        <v>23400</v>
      </c>
      <c r="B235">
        <v>32.217999999999897</v>
      </c>
      <c r="C235">
        <v>12.1782</v>
      </c>
      <c r="D235">
        <f t="shared" si="14"/>
        <v>1.2018948926720948E-2</v>
      </c>
      <c r="E235">
        <v>-56.8</v>
      </c>
      <c r="F235">
        <f t="shared" si="15"/>
        <v>216.34999999999997</v>
      </c>
      <c r="G235">
        <f t="shared" si="16"/>
        <v>4.2334108846018507E-2</v>
      </c>
      <c r="H235">
        <f t="shared" si="17"/>
        <v>1.5174374390264973</v>
      </c>
    </row>
    <row r="236" spans="1:8" x14ac:dyDescent="0.3">
      <c r="A236">
        <v>23500</v>
      </c>
      <c r="B236">
        <v>31.711428571428499</v>
      </c>
      <c r="C236">
        <v>12.356571428571399</v>
      </c>
      <c r="D236">
        <f t="shared" si="14"/>
        <v>1.2194987839695436E-2</v>
      </c>
      <c r="E236">
        <v>-56.9</v>
      </c>
      <c r="F236">
        <f t="shared" si="15"/>
        <v>216.24999999999997</v>
      </c>
      <c r="G236">
        <f t="shared" si="16"/>
        <v>4.1765874363545105E-2</v>
      </c>
      <c r="H236">
        <f t="shared" si="17"/>
        <v>1.5403749957978303</v>
      </c>
    </row>
    <row r="237" spans="1:8" x14ac:dyDescent="0.3">
      <c r="A237">
        <v>23600</v>
      </c>
      <c r="B237">
        <v>31.21</v>
      </c>
      <c r="C237">
        <v>12.515666666666601</v>
      </c>
      <c r="D237">
        <f t="shared" si="14"/>
        <v>1.2352002631795313E-2</v>
      </c>
      <c r="E237">
        <v>-56.9</v>
      </c>
      <c r="F237">
        <f t="shared" si="15"/>
        <v>216.24999999999997</v>
      </c>
      <c r="G237">
        <f t="shared" si="16"/>
        <v>4.1205267074270586E-2</v>
      </c>
      <c r="H237">
        <f t="shared" si="17"/>
        <v>1.5602078699999491</v>
      </c>
    </row>
    <row r="238" spans="1:8" x14ac:dyDescent="0.3">
      <c r="A238">
        <v>23700</v>
      </c>
      <c r="B238">
        <v>30.725000000000001</v>
      </c>
      <c r="C238">
        <v>12.72125</v>
      </c>
      <c r="D238">
        <f t="shared" si="14"/>
        <v>1.2554897606711078E-2</v>
      </c>
      <c r="E238">
        <v>-56.3</v>
      </c>
      <c r="F238">
        <f t="shared" si="15"/>
        <v>216.84999999999997</v>
      </c>
      <c r="G238">
        <f t="shared" si="16"/>
        <v>4.0652184601310266E-2</v>
      </c>
      <c r="H238">
        <f t="shared" si="17"/>
        <v>1.5814481352423939</v>
      </c>
    </row>
    <row r="239" spans="1:8" x14ac:dyDescent="0.3">
      <c r="A239">
        <v>23800</v>
      </c>
      <c r="B239">
        <v>30.253333333333298</v>
      </c>
      <c r="C239">
        <v>12.429</v>
      </c>
      <c r="D239">
        <f t="shared" si="14"/>
        <v>1.2266469282013324E-2</v>
      </c>
      <c r="E239">
        <v>-55.6</v>
      </c>
      <c r="F239">
        <f t="shared" si="15"/>
        <v>217.54999999999998</v>
      </c>
      <c r="G239">
        <f t="shared" si="16"/>
        <v>4.0106525941945054E-2</v>
      </c>
      <c r="H239">
        <f t="shared" si="17"/>
        <v>1.5401452927519834</v>
      </c>
    </row>
    <row r="240" spans="1:8" x14ac:dyDescent="0.3">
      <c r="A240">
        <v>23900</v>
      </c>
      <c r="B240">
        <v>29.7828571428571</v>
      </c>
      <c r="C240">
        <v>12.7122857142857</v>
      </c>
      <c r="D240">
        <f t="shared" si="14"/>
        <v>1.2546050544570145E-2</v>
      </c>
      <c r="E240">
        <v>-55.5</v>
      </c>
      <c r="F240">
        <f t="shared" si="15"/>
        <v>217.64999999999998</v>
      </c>
      <c r="G240">
        <f t="shared" si="16"/>
        <v>3.9568191449176546E-2</v>
      </c>
      <c r="H240">
        <f t="shared" si="17"/>
        <v>1.5745250201007743</v>
      </c>
    </row>
    <row r="241" spans="1:8" x14ac:dyDescent="0.3">
      <c r="A241">
        <v>24000</v>
      </c>
      <c r="B241">
        <v>29.318571428571399</v>
      </c>
      <c r="C241">
        <v>12.961</v>
      </c>
      <c r="D241">
        <f t="shared" si="14"/>
        <v>1.2791512459906243E-2</v>
      </c>
      <c r="E241">
        <v>-54.8</v>
      </c>
      <c r="F241">
        <f t="shared" si="15"/>
        <v>218.34999999999997</v>
      </c>
      <c r="G241">
        <f t="shared" si="16"/>
        <v>3.9037082813529765E-2</v>
      </c>
      <c r="H241">
        <f t="shared" si="17"/>
        <v>1.6001839379085827</v>
      </c>
    </row>
    <row r="242" spans="1:8" x14ac:dyDescent="0.3">
      <c r="A242">
        <v>24100</v>
      </c>
      <c r="B242">
        <v>28.8685714285714</v>
      </c>
      <c r="C242">
        <v>13.4361428571428</v>
      </c>
      <c r="D242">
        <f t="shared" si="14"/>
        <v>1.3260442000634394E-2</v>
      </c>
      <c r="E242">
        <v>-54.1</v>
      </c>
      <c r="F242">
        <f t="shared" si="15"/>
        <v>219.04999999999998</v>
      </c>
      <c r="G242">
        <f t="shared" si="16"/>
        <v>3.8513103045099979E-2</v>
      </c>
      <c r="H242">
        <f t="shared" si="17"/>
        <v>1.6535447306429056</v>
      </c>
    </row>
    <row r="243" spans="1:8" x14ac:dyDescent="0.3">
      <c r="A243">
        <v>24200</v>
      </c>
      <c r="B243">
        <v>28.414999999999999</v>
      </c>
      <c r="C243">
        <v>13.625</v>
      </c>
      <c r="D243">
        <f t="shared" si="14"/>
        <v>1.3446829509005675E-2</v>
      </c>
      <c r="E243">
        <v>-54.3</v>
      </c>
      <c r="F243">
        <f t="shared" si="15"/>
        <v>218.84999999999997</v>
      </c>
      <c r="G243">
        <f t="shared" si="16"/>
        <v>3.7996156455840757E-2</v>
      </c>
      <c r="H243">
        <f t="shared" si="17"/>
        <v>1.6783191594173636</v>
      </c>
    </row>
    <row r="244" spans="1:8" x14ac:dyDescent="0.3">
      <c r="A244">
        <v>24300</v>
      </c>
      <c r="B244">
        <v>27.977999999999899</v>
      </c>
      <c r="C244">
        <v>13.3964</v>
      </c>
      <c r="D244">
        <f t="shared" si="14"/>
        <v>1.3221218850234395E-2</v>
      </c>
      <c r="E244">
        <v>-54.3</v>
      </c>
      <c r="F244">
        <f t="shared" si="15"/>
        <v>218.84999999999997</v>
      </c>
      <c r="G244">
        <f t="shared" si="16"/>
        <v>3.7486148642089538E-2</v>
      </c>
      <c r="H244">
        <f t="shared" si="17"/>
        <v>1.6501603513555061</v>
      </c>
    </row>
    <row r="245" spans="1:8" x14ac:dyDescent="0.3">
      <c r="A245">
        <v>24400</v>
      </c>
      <c r="B245">
        <v>27.535</v>
      </c>
      <c r="C245">
        <v>13.3775</v>
      </c>
      <c r="D245">
        <f t="shared" si="14"/>
        <v>1.3202566000493462E-2</v>
      </c>
      <c r="E245">
        <v>-53.8</v>
      </c>
      <c r="F245">
        <f t="shared" si="15"/>
        <v>219.34999999999997</v>
      </c>
      <c r="G245">
        <f t="shared" si="16"/>
        <v>3.698298646732788E-2</v>
      </c>
      <c r="H245">
        <f t="shared" si="17"/>
        <v>1.6440760898266649</v>
      </c>
    </row>
    <row r="246" spans="1:8" x14ac:dyDescent="0.3">
      <c r="A246">
        <v>24500</v>
      </c>
      <c r="B246">
        <v>27.114999999999998</v>
      </c>
      <c r="C246">
        <v>13.653</v>
      </c>
      <c r="D246">
        <f t="shared" si="14"/>
        <v>1.3474463360473723E-2</v>
      </c>
      <c r="E246">
        <v>-53.6</v>
      </c>
      <c r="F246">
        <f t="shared" si="15"/>
        <v>219.54999999999998</v>
      </c>
      <c r="G246">
        <f t="shared" si="16"/>
        <v>3.6486578045173051E-2</v>
      </c>
      <c r="H246">
        <f t="shared" si="17"/>
        <v>1.6764061338708254</v>
      </c>
    </row>
    <row r="247" spans="1:8" x14ac:dyDescent="0.3">
      <c r="A247">
        <v>24600</v>
      </c>
      <c r="B247">
        <v>26.701428571428501</v>
      </c>
      <c r="C247">
        <v>13.6678571428571</v>
      </c>
      <c r="D247">
        <f t="shared" si="14"/>
        <v>1.3489126220436319E-2</v>
      </c>
      <c r="E247">
        <v>-53.6</v>
      </c>
      <c r="F247">
        <f t="shared" si="15"/>
        <v>219.54999999999998</v>
      </c>
      <c r="G247">
        <f t="shared" si="16"/>
        <v>3.5996832722597884E-2</v>
      </c>
      <c r="H247">
        <f t="shared" si="17"/>
        <v>1.6782303926723665</v>
      </c>
    </row>
    <row r="248" spans="1:8" x14ac:dyDescent="0.3">
      <c r="A248">
        <v>24700</v>
      </c>
      <c r="B248">
        <v>26.295999999999999</v>
      </c>
      <c r="C248">
        <v>13.7904</v>
      </c>
      <c r="D248">
        <f t="shared" si="14"/>
        <v>1.3610066617320503E-2</v>
      </c>
      <c r="E248">
        <v>-53.18</v>
      </c>
      <c r="F248">
        <f t="shared" si="15"/>
        <v>219.96999999999997</v>
      </c>
      <c r="G248">
        <f t="shared" si="16"/>
        <v>3.5513661063376077E-2</v>
      </c>
      <c r="H248">
        <f t="shared" si="17"/>
        <v>1.6900439589585377</v>
      </c>
    </row>
    <row r="249" spans="1:8" x14ac:dyDescent="0.3">
      <c r="A249">
        <v>24800</v>
      </c>
      <c r="B249">
        <v>25.875714285714199</v>
      </c>
      <c r="C249">
        <v>13.872714285714199</v>
      </c>
      <c r="D249">
        <f t="shared" si="14"/>
        <v>1.3691304501074955E-2</v>
      </c>
      <c r="E249">
        <v>-52.6</v>
      </c>
      <c r="F249">
        <f t="shared" si="15"/>
        <v>220.54999999999998</v>
      </c>
      <c r="G249">
        <f t="shared" si="16"/>
        <v>3.5036974831749362E-2</v>
      </c>
      <c r="H249">
        <f t="shared" si="17"/>
        <v>1.6956607682922802</v>
      </c>
    </row>
    <row r="250" spans="1:8" x14ac:dyDescent="0.3">
      <c r="A250">
        <v>24900</v>
      </c>
      <c r="B250">
        <v>25.481999999999999</v>
      </c>
      <c r="C250">
        <v>13.966799999999999</v>
      </c>
      <c r="D250">
        <f t="shared" si="14"/>
        <v>1.3784159881569207E-2</v>
      </c>
      <c r="E250">
        <v>-52.3</v>
      </c>
      <c r="F250">
        <f t="shared" si="15"/>
        <v>220.84999999999997</v>
      </c>
      <c r="G250">
        <f t="shared" si="16"/>
        <v>3.4566686976314182E-2</v>
      </c>
      <c r="H250">
        <f t="shared" si="17"/>
        <v>1.704841870794942</v>
      </c>
    </row>
    <row r="251" spans="1:8" x14ac:dyDescent="0.3">
      <c r="A251">
        <v>25000</v>
      </c>
      <c r="B251">
        <v>25.09</v>
      </c>
      <c r="C251">
        <v>14.131</v>
      </c>
      <c r="D251">
        <f t="shared" si="14"/>
        <v>1.3946212681963978E-2</v>
      </c>
      <c r="E251">
        <v>-52.1</v>
      </c>
      <c r="F251">
        <f t="shared" si="15"/>
        <v>221.04999999999998</v>
      </c>
      <c r="G251">
        <f t="shared" si="16"/>
        <v>3.4102711614124571E-2</v>
      </c>
      <c r="H251">
        <f t="shared" si="17"/>
        <v>1.7233241321323052</v>
      </c>
    </row>
    <row r="252" spans="1:8" x14ac:dyDescent="0.3">
      <c r="A252">
        <v>25100</v>
      </c>
      <c r="B252">
        <v>24.701428571428501</v>
      </c>
      <c r="C252">
        <v>13.9724285714285</v>
      </c>
      <c r="D252">
        <f t="shared" si="14"/>
        <v>1.3789714849670367E-2</v>
      </c>
      <c r="E252">
        <v>-52.6</v>
      </c>
      <c r="F252">
        <f t="shared" si="15"/>
        <v>220.54999999999998</v>
      </c>
      <c r="G252">
        <f t="shared" si="16"/>
        <v>3.3644964015008272E-2</v>
      </c>
      <c r="H252">
        <f t="shared" si="17"/>
        <v>1.7078488375368219</v>
      </c>
    </row>
    <row r="253" spans="1:8" x14ac:dyDescent="0.3">
      <c r="A253">
        <v>25200</v>
      </c>
      <c r="B253">
        <v>24.327499999999901</v>
      </c>
      <c r="C253">
        <v>14.101125</v>
      </c>
      <c r="D253">
        <f t="shared" si="14"/>
        <v>1.3916728349370836E-2</v>
      </c>
      <c r="E253">
        <v>-52.7</v>
      </c>
      <c r="F253">
        <f t="shared" si="15"/>
        <v>220.45</v>
      </c>
      <c r="G253">
        <f t="shared" si="16"/>
        <v>3.3193360586093699E-2</v>
      </c>
      <c r="H253">
        <f t="shared" si="17"/>
        <v>1.7243612377548849</v>
      </c>
    </row>
    <row r="254" spans="1:8" x14ac:dyDescent="0.3">
      <c r="A254">
        <v>25300</v>
      </c>
      <c r="B254">
        <v>23.966666666666601</v>
      </c>
      <c r="C254">
        <v>14.138999999999999</v>
      </c>
      <c r="D254">
        <f t="shared" si="14"/>
        <v>1.3954108068097704E-2</v>
      </c>
      <c r="E254">
        <v>-52.7</v>
      </c>
      <c r="F254">
        <f t="shared" si="15"/>
        <v>220.45</v>
      </c>
      <c r="G254">
        <f t="shared" si="16"/>
        <v>3.2747818856544188E-2</v>
      </c>
      <c r="H254">
        <f t="shared" si="17"/>
        <v>1.728992796008568</v>
      </c>
    </row>
    <row r="255" spans="1:8" x14ac:dyDescent="0.3">
      <c r="A255">
        <v>25400</v>
      </c>
      <c r="B255">
        <v>23.588000000000001</v>
      </c>
      <c r="C255">
        <v>13.94</v>
      </c>
      <c r="D255">
        <f t="shared" si="14"/>
        <v>1.3757710338021218E-2</v>
      </c>
      <c r="E255">
        <v>-53.1</v>
      </c>
      <c r="F255">
        <f t="shared" si="15"/>
        <v>220.04999999999998</v>
      </c>
      <c r="G255">
        <f t="shared" si="16"/>
        <v>3.2308257462497457E-2</v>
      </c>
      <c r="H255">
        <f t="shared" si="17"/>
        <v>1.7077566820406707</v>
      </c>
    </row>
    <row r="256" spans="1:8" x14ac:dyDescent="0.3">
      <c r="A256">
        <v>25500</v>
      </c>
      <c r="B256">
        <v>23.216666666666601</v>
      </c>
      <c r="C256">
        <v>13.735999999999899</v>
      </c>
      <c r="D256">
        <f t="shared" si="14"/>
        <v>1.3556377991611053E-2</v>
      </c>
      <c r="E256">
        <v>-53.1</v>
      </c>
      <c r="F256">
        <f t="shared" si="15"/>
        <v>220.04999999999998</v>
      </c>
      <c r="G256">
        <f t="shared" si="16"/>
        <v>3.1874596132207139E-2</v>
      </c>
      <c r="H256">
        <f t="shared" si="17"/>
        <v>1.6827651208400631</v>
      </c>
    </row>
    <row r="257" spans="1:8" x14ac:dyDescent="0.3">
      <c r="A257">
        <v>25600</v>
      </c>
      <c r="B257">
        <v>22.86</v>
      </c>
      <c r="C257">
        <v>13.859</v>
      </c>
      <c r="D257">
        <f t="shared" si="14"/>
        <v>1.3677769553417221E-2</v>
      </c>
      <c r="E257">
        <v>-53.65</v>
      </c>
      <c r="F257">
        <f t="shared" si="15"/>
        <v>219.49999999999997</v>
      </c>
      <c r="G257">
        <f t="shared" si="16"/>
        <v>3.1446755671383594E-2</v>
      </c>
      <c r="H257">
        <f t="shared" si="17"/>
        <v>1.7020878148136283</v>
      </c>
    </row>
    <row r="258" spans="1:8" x14ac:dyDescent="0.3">
      <c r="A258">
        <v>25700</v>
      </c>
      <c r="B258">
        <v>22.507999999999999</v>
      </c>
      <c r="C258">
        <v>13.767999999999899</v>
      </c>
      <c r="D258">
        <f t="shared" si="14"/>
        <v>1.3587959536145965E-2</v>
      </c>
      <c r="E258">
        <v>-54.1</v>
      </c>
      <c r="F258">
        <f t="shared" si="15"/>
        <v>219.04999999999998</v>
      </c>
      <c r="G258">
        <f t="shared" si="16"/>
        <v>3.102465794873183E-2</v>
      </c>
      <c r="H258">
        <f t="shared" si="17"/>
        <v>1.6943853674039124</v>
      </c>
    </row>
    <row r="259" spans="1:8" x14ac:dyDescent="0.3">
      <c r="A259">
        <v>25800</v>
      </c>
      <c r="B259">
        <v>22.152000000000001</v>
      </c>
      <c r="C259">
        <v>13.7378</v>
      </c>
      <c r="D259">
        <f t="shared" ref="D259:D322" si="18">C259/1013.25</f>
        <v>1.355815445349124E-2</v>
      </c>
      <c r="E259">
        <v>-53.8</v>
      </c>
      <c r="F259">
        <f t="shared" ref="F259:F322" si="19">E259+273.15</f>
        <v>219.34999999999997</v>
      </c>
      <c r="G259">
        <f t="shared" ref="G259:G322" si="20">EXP((-A259*0.001)/7.4)</f>
        <v>3.0608225881683122E-2</v>
      </c>
      <c r="H259">
        <f t="shared" ref="H259:H322" si="21">(D259*273.15*100)/F259</f>
        <v>1.6883564572469263</v>
      </c>
    </row>
    <row r="260" spans="1:8" x14ac:dyDescent="0.3">
      <c r="A260">
        <v>25900</v>
      </c>
      <c r="B260">
        <v>21.81</v>
      </c>
      <c r="C260">
        <v>13.653</v>
      </c>
      <c r="D260">
        <f t="shared" si="18"/>
        <v>1.3474463360473723E-2</v>
      </c>
      <c r="E260">
        <v>-53.8</v>
      </c>
      <c r="F260">
        <f t="shared" si="19"/>
        <v>219.34999999999997</v>
      </c>
      <c r="G260">
        <f t="shared" si="20"/>
        <v>3.0197383422318501E-2</v>
      </c>
      <c r="H260">
        <f t="shared" si="21"/>
        <v>1.6779346555338033</v>
      </c>
    </row>
    <row r="261" spans="1:8" x14ac:dyDescent="0.3">
      <c r="A261">
        <v>26000</v>
      </c>
      <c r="B261">
        <v>21.476666666666599</v>
      </c>
      <c r="C261">
        <v>13.6413333333333</v>
      </c>
      <c r="D261">
        <f t="shared" si="18"/>
        <v>1.3462949255695337E-2</v>
      </c>
      <c r="E261">
        <v>-53.5</v>
      </c>
      <c r="F261">
        <f t="shared" si="19"/>
        <v>219.64999999999998</v>
      </c>
      <c r="G261">
        <f t="shared" si="20"/>
        <v>2.9792055543481012E-2</v>
      </c>
      <c r="H261">
        <f t="shared" si="21"/>
        <v>1.6742110581348424</v>
      </c>
    </row>
    <row r="262" spans="1:8" x14ac:dyDescent="0.3">
      <c r="A262">
        <v>26100</v>
      </c>
      <c r="B262">
        <v>21.1514285714285</v>
      </c>
      <c r="C262">
        <v>13.6145714285714</v>
      </c>
      <c r="D262">
        <f t="shared" si="18"/>
        <v>1.3436537309224179E-2</v>
      </c>
      <c r="E262">
        <v>-52.657142857142802</v>
      </c>
      <c r="F262">
        <f t="shared" si="19"/>
        <v>220.49285714285719</v>
      </c>
      <c r="G262">
        <f t="shared" si="20"/>
        <v>2.9392168225074355E-2</v>
      </c>
      <c r="H262">
        <f t="shared" si="21"/>
        <v>1.6645392569958264</v>
      </c>
    </row>
    <row r="263" spans="1:8" x14ac:dyDescent="0.3">
      <c r="A263">
        <v>26200</v>
      </c>
      <c r="B263">
        <v>20.832307692307602</v>
      </c>
      <c r="C263">
        <v>13.6042307692307</v>
      </c>
      <c r="D263">
        <f t="shared" si="18"/>
        <v>1.3426331871927658E-2</v>
      </c>
      <c r="E263">
        <v>-52.530769230769202</v>
      </c>
      <c r="F263">
        <f t="shared" si="19"/>
        <v>220.61923076923077</v>
      </c>
      <c r="G263">
        <f t="shared" si="20"/>
        <v>2.8997648440545639E-2</v>
      </c>
      <c r="H263">
        <f t="shared" si="21"/>
        <v>1.6623222454497486</v>
      </c>
    </row>
    <row r="264" spans="1:8" x14ac:dyDescent="0.3">
      <c r="A264">
        <v>26300</v>
      </c>
      <c r="B264">
        <v>20.498000000000001</v>
      </c>
      <c r="C264">
        <v>13.6814</v>
      </c>
      <c r="D264">
        <f t="shared" si="18"/>
        <v>1.3502491981248458E-2</v>
      </c>
      <c r="E264">
        <v>-52.5</v>
      </c>
      <c r="F264">
        <f t="shared" si="19"/>
        <v>220.64999999999998</v>
      </c>
      <c r="G264">
        <f t="shared" si="20"/>
        <v>2.8608424143549263E-2</v>
      </c>
      <c r="H264">
        <f t="shared" si="21"/>
        <v>1.6715185518595135</v>
      </c>
    </row>
    <row r="265" spans="1:8" x14ac:dyDescent="0.3">
      <c r="A265">
        <v>26400</v>
      </c>
      <c r="B265">
        <v>20.202857142857098</v>
      </c>
      <c r="C265">
        <v>13.6107142857142</v>
      </c>
      <c r="D265">
        <f t="shared" si="18"/>
        <v>1.3432730605195361E-2</v>
      </c>
      <c r="E265">
        <v>-52.3</v>
      </c>
      <c r="F265">
        <f t="shared" si="19"/>
        <v>220.84999999999997</v>
      </c>
      <c r="G265">
        <f t="shared" si="20"/>
        <v>2.822442425479009E-2</v>
      </c>
      <c r="H265">
        <f t="shared" si="21"/>
        <v>1.6613766650709136</v>
      </c>
    </row>
    <row r="266" spans="1:8" x14ac:dyDescent="0.3">
      <c r="A266">
        <v>26500</v>
      </c>
      <c r="B266">
        <v>19.87</v>
      </c>
      <c r="C266">
        <v>13.593</v>
      </c>
      <c r="D266">
        <f t="shared" si="18"/>
        <v>1.3415247964470762E-2</v>
      </c>
      <c r="E266">
        <v>-52.1</v>
      </c>
      <c r="F266">
        <f t="shared" si="19"/>
        <v>221.04999999999998</v>
      </c>
      <c r="G266">
        <f t="shared" si="20"/>
        <v>2.7845578649043065E-2</v>
      </c>
      <c r="H266">
        <f t="shared" si="21"/>
        <v>1.6577131786904269</v>
      </c>
    </row>
    <row r="267" spans="1:8" x14ac:dyDescent="0.3">
      <c r="A267">
        <v>26600</v>
      </c>
      <c r="B267">
        <v>19.5766666666666</v>
      </c>
      <c r="C267">
        <v>13.7016666666666</v>
      </c>
      <c r="D267">
        <f t="shared" si="18"/>
        <v>1.3522493626120504E-2</v>
      </c>
      <c r="E267">
        <v>-52.2</v>
      </c>
      <c r="F267">
        <f t="shared" si="19"/>
        <v>220.95</v>
      </c>
      <c r="G267">
        <f t="shared" si="20"/>
        <v>2.7471818142347042E-2</v>
      </c>
      <c r="H267">
        <f t="shared" si="21"/>
        <v>1.6717217171191743</v>
      </c>
    </row>
    <row r="268" spans="1:8" x14ac:dyDescent="0.3">
      <c r="A268">
        <v>26700</v>
      </c>
      <c r="B268">
        <v>19.27</v>
      </c>
      <c r="C268">
        <v>13.766500000000001</v>
      </c>
      <c r="D268">
        <f t="shared" si="18"/>
        <v>1.3586479151245992E-2</v>
      </c>
      <c r="E268">
        <v>-52.2</v>
      </c>
      <c r="F268">
        <f t="shared" si="19"/>
        <v>220.95</v>
      </c>
      <c r="G268">
        <f t="shared" si="20"/>
        <v>2.7103074479370701E-2</v>
      </c>
      <c r="H268">
        <f t="shared" si="21"/>
        <v>1.6796319439524066</v>
      </c>
    </row>
    <row r="269" spans="1:8" x14ac:dyDescent="0.3">
      <c r="A269">
        <v>26800</v>
      </c>
      <c r="B269">
        <v>18.989999999999998</v>
      </c>
      <c r="C269">
        <v>13.853999999999999</v>
      </c>
      <c r="D269">
        <f t="shared" si="18"/>
        <v>1.3672834937083642E-2</v>
      </c>
      <c r="E269">
        <v>-51.9</v>
      </c>
      <c r="F269">
        <f t="shared" si="19"/>
        <v>221.24999999999997</v>
      </c>
      <c r="G269">
        <f t="shared" si="20"/>
        <v>2.6739280320947727E-2</v>
      </c>
      <c r="H269">
        <f t="shared" si="21"/>
        <v>1.6880157573172416</v>
      </c>
    </row>
    <row r="270" spans="1:8" x14ac:dyDescent="0.3">
      <c r="A270">
        <v>26900</v>
      </c>
      <c r="B270">
        <v>18.68</v>
      </c>
      <c r="C270">
        <v>13.811999999999999</v>
      </c>
      <c r="D270">
        <f t="shared" si="18"/>
        <v>1.3631384159881568E-2</v>
      </c>
      <c r="E270">
        <v>-51.6</v>
      </c>
      <c r="F270">
        <f t="shared" si="19"/>
        <v>221.54999999999998</v>
      </c>
      <c r="G270">
        <f t="shared" si="20"/>
        <v>2.6380369231779627E-2</v>
      </c>
      <c r="H270">
        <f t="shared" si="21"/>
        <v>1.680619536570368</v>
      </c>
    </row>
    <row r="271" spans="1:8" x14ac:dyDescent="0.3">
      <c r="A271">
        <v>27000</v>
      </c>
      <c r="B271">
        <v>18.396363636363599</v>
      </c>
      <c r="C271">
        <v>13.7511818181818</v>
      </c>
      <c r="D271">
        <f t="shared" si="18"/>
        <v>1.3571361281205823E-2</v>
      </c>
      <c r="E271">
        <v>-51.3</v>
      </c>
      <c r="F271">
        <f t="shared" si="19"/>
        <v>221.84999999999997</v>
      </c>
      <c r="G271">
        <f t="shared" si="20"/>
        <v>2.6026275668303379E-2</v>
      </c>
      <c r="H271">
        <f t="shared" si="21"/>
        <v>1.6709566526758488</v>
      </c>
    </row>
    <row r="272" spans="1:8" x14ac:dyDescent="0.3">
      <c r="A272">
        <v>27100</v>
      </c>
      <c r="B272">
        <v>18.123333333333299</v>
      </c>
      <c r="C272">
        <v>13.6993333333333</v>
      </c>
      <c r="D272">
        <f t="shared" si="18"/>
        <v>1.3520190805164865E-2</v>
      </c>
      <c r="E272">
        <v>-51.6</v>
      </c>
      <c r="F272">
        <f t="shared" si="19"/>
        <v>221.54999999999998</v>
      </c>
      <c r="G272">
        <f t="shared" si="20"/>
        <v>2.5676934966722038E-2</v>
      </c>
      <c r="H272">
        <f t="shared" si="21"/>
        <v>1.6669104574275706</v>
      </c>
    </row>
    <row r="273" spans="1:8" x14ac:dyDescent="0.3">
      <c r="A273">
        <v>27200</v>
      </c>
      <c r="B273">
        <v>17.850000000000001</v>
      </c>
      <c r="C273">
        <v>13.491</v>
      </c>
      <c r="D273">
        <f t="shared" si="18"/>
        <v>1.3314581791265729E-2</v>
      </c>
      <c r="E273">
        <v>-52.3</v>
      </c>
      <c r="F273">
        <f t="shared" si="19"/>
        <v>220.84999999999997</v>
      </c>
      <c r="G273">
        <f t="shared" si="20"/>
        <v>2.5332283331195977E-2</v>
      </c>
      <c r="H273">
        <f t="shared" si="21"/>
        <v>1.6467638742514079</v>
      </c>
    </row>
    <row r="274" spans="1:8" x14ac:dyDescent="0.3">
      <c r="A274">
        <v>27300</v>
      </c>
      <c r="B274">
        <v>17.55</v>
      </c>
      <c r="C274">
        <v>13.433</v>
      </c>
      <c r="D274">
        <f t="shared" si="18"/>
        <v>1.3257340241796201E-2</v>
      </c>
      <c r="E274">
        <v>-53.2</v>
      </c>
      <c r="F274">
        <f t="shared" si="19"/>
        <v>219.95</v>
      </c>
      <c r="G274">
        <f t="shared" si="20"/>
        <v>2.4992257822192592E-2</v>
      </c>
      <c r="H274">
        <f t="shared" si="21"/>
        <v>1.6463934926331587</v>
      </c>
    </row>
    <row r="275" spans="1:8" x14ac:dyDescent="0.3">
      <c r="A275">
        <v>27400</v>
      </c>
      <c r="B275">
        <v>17.305714285714199</v>
      </c>
      <c r="C275">
        <v>13.0091428571428</v>
      </c>
      <c r="D275">
        <f t="shared" si="18"/>
        <v>1.2839025765746657E-2</v>
      </c>
      <c r="E275">
        <v>-53.842857142857099</v>
      </c>
      <c r="F275">
        <f t="shared" si="19"/>
        <v>219.30714285714288</v>
      </c>
      <c r="G275">
        <f t="shared" si="20"/>
        <v>2.4656796344992474E-2</v>
      </c>
      <c r="H275">
        <f t="shared" si="21"/>
        <v>1.5991179503889452</v>
      </c>
    </row>
    <row r="276" spans="1:8" x14ac:dyDescent="0.3">
      <c r="A276">
        <v>27500</v>
      </c>
      <c r="B276">
        <v>17.04</v>
      </c>
      <c r="C276">
        <v>12.875999999999999</v>
      </c>
      <c r="D276">
        <f t="shared" si="18"/>
        <v>1.2707623982235381E-2</v>
      </c>
      <c r="E276">
        <v>-54.1</v>
      </c>
      <c r="F276">
        <f t="shared" si="19"/>
        <v>219.04999999999998</v>
      </c>
      <c r="G276">
        <f t="shared" si="20"/>
        <v>2.4325837638349779E-2</v>
      </c>
      <c r="H276">
        <f t="shared" si="21"/>
        <v>1.5846096739317936</v>
      </c>
    </row>
    <row r="277" spans="1:8" x14ac:dyDescent="0.3">
      <c r="A277">
        <v>27600</v>
      </c>
      <c r="B277">
        <v>16.767142857142801</v>
      </c>
      <c r="C277">
        <v>12.9607142857142</v>
      </c>
      <c r="D277">
        <f t="shared" si="18"/>
        <v>1.2791230481829953E-2</v>
      </c>
      <c r="E277">
        <v>-54.728571428571399</v>
      </c>
      <c r="F277">
        <f t="shared" si="19"/>
        <v>218.42142857142858</v>
      </c>
      <c r="G277">
        <f t="shared" si="20"/>
        <v>2.3999321263304833E-2</v>
      </c>
      <c r="H277">
        <f t="shared" si="21"/>
        <v>1.5996253796908311</v>
      </c>
    </row>
    <row r="278" spans="1:8" x14ac:dyDescent="0.3">
      <c r="A278">
        <v>27700</v>
      </c>
      <c r="B278">
        <v>16.5</v>
      </c>
      <c r="C278">
        <v>12.592000000000001</v>
      </c>
      <c r="D278">
        <f t="shared" si="18"/>
        <v>1.2427337774488035E-2</v>
      </c>
      <c r="E278">
        <v>-55.4</v>
      </c>
      <c r="F278">
        <f t="shared" si="19"/>
        <v>217.74999999999997</v>
      </c>
      <c r="G278">
        <f t="shared" si="20"/>
        <v>2.367718759214691E-2</v>
      </c>
      <c r="H278">
        <f t="shared" si="21"/>
        <v>1.5589103619294635</v>
      </c>
    </row>
    <row r="279" spans="1:8" x14ac:dyDescent="0.3">
      <c r="A279">
        <v>27800</v>
      </c>
      <c r="B279">
        <v>16.244999999999902</v>
      </c>
      <c r="C279">
        <v>12.641999999999999</v>
      </c>
      <c r="D279">
        <f t="shared" si="18"/>
        <v>1.2476683937823833E-2</v>
      </c>
      <c r="E279">
        <v>-56.25</v>
      </c>
      <c r="F279">
        <f t="shared" si="19"/>
        <v>216.89999999999998</v>
      </c>
      <c r="G279">
        <f t="shared" si="20"/>
        <v>2.3359377797525119E-2</v>
      </c>
      <c r="H279">
        <f t="shared" si="21"/>
        <v>1.5712338486014661</v>
      </c>
    </row>
    <row r="280" spans="1:8" x14ac:dyDescent="0.3">
      <c r="A280">
        <v>27900</v>
      </c>
      <c r="B280">
        <v>15.9966666666666</v>
      </c>
      <c r="C280">
        <v>12.404999999999999</v>
      </c>
      <c r="D280">
        <f t="shared" si="18"/>
        <v>1.2242783123612138E-2</v>
      </c>
      <c r="E280">
        <v>-56.4</v>
      </c>
      <c r="F280">
        <f t="shared" si="19"/>
        <v>216.74999999999997</v>
      </c>
      <c r="G280">
        <f t="shared" si="20"/>
        <v>2.304583384170553E-2</v>
      </c>
      <c r="H280">
        <f t="shared" si="21"/>
        <v>1.5428448490033013</v>
      </c>
    </row>
    <row r="281" spans="1:8" x14ac:dyDescent="0.3">
      <c r="A281">
        <v>28000</v>
      </c>
      <c r="B281">
        <v>15.75</v>
      </c>
      <c r="C281">
        <v>12.186</v>
      </c>
      <c r="D281">
        <f t="shared" si="18"/>
        <v>1.2026646928201332E-2</v>
      </c>
      <c r="E281">
        <v>-56.9</v>
      </c>
      <c r="F281">
        <f t="shared" si="19"/>
        <v>216.24999999999997</v>
      </c>
      <c r="G281">
        <f t="shared" si="20"/>
        <v>2.2736498465972407E-2</v>
      </c>
      <c r="H281">
        <f t="shared" si="21"/>
        <v>1.5191114952315348</v>
      </c>
    </row>
    <row r="282" spans="1:8" x14ac:dyDescent="0.3">
      <c r="A282">
        <v>28100</v>
      </c>
      <c r="B282">
        <v>15.5033333333333</v>
      </c>
      <c r="C282">
        <v>12.1823333333333</v>
      </c>
      <c r="D282">
        <f t="shared" si="18"/>
        <v>1.2023028209556674E-2</v>
      </c>
      <c r="E282">
        <v>-55.633333333333297</v>
      </c>
      <c r="F282">
        <f t="shared" si="19"/>
        <v>217.51666666666668</v>
      </c>
      <c r="G282">
        <f t="shared" si="20"/>
        <v>2.2431315180171774E-2</v>
      </c>
      <c r="H282">
        <f t="shared" si="21"/>
        <v>1.5098108139332183</v>
      </c>
    </row>
    <row r="283" spans="1:8" x14ac:dyDescent="0.3">
      <c r="A283">
        <v>28200</v>
      </c>
      <c r="B283">
        <v>15.257272727272699</v>
      </c>
      <c r="C283">
        <v>12.0383636363636</v>
      </c>
      <c r="D283">
        <f t="shared" si="18"/>
        <v>1.1880941165915223E-2</v>
      </c>
      <c r="E283">
        <v>-55.7</v>
      </c>
      <c r="F283">
        <f t="shared" si="19"/>
        <v>217.45</v>
      </c>
      <c r="G283">
        <f t="shared" si="20"/>
        <v>2.2130228252395297E-2</v>
      </c>
      <c r="H283">
        <f t="shared" si="21"/>
        <v>1.4924254216922248</v>
      </c>
    </row>
    <row r="284" spans="1:8" x14ac:dyDescent="0.3">
      <c r="A284">
        <v>28300</v>
      </c>
      <c r="B284">
        <v>15.013</v>
      </c>
      <c r="C284">
        <v>11.676</v>
      </c>
      <c r="D284">
        <f t="shared" si="18"/>
        <v>1.1523316062176166E-2</v>
      </c>
      <c r="E284">
        <v>-56.2</v>
      </c>
      <c r="F284">
        <f t="shared" si="19"/>
        <v>216.95</v>
      </c>
      <c r="G284">
        <f t="shared" si="20"/>
        <v>2.1833182698802613E-2</v>
      </c>
      <c r="H284">
        <f t="shared" si="21"/>
        <v>1.450838341730085</v>
      </c>
    </row>
    <row r="285" spans="1:8" x14ac:dyDescent="0.3">
      <c r="A285">
        <v>28400</v>
      </c>
      <c r="B285">
        <v>14.78</v>
      </c>
      <c r="C285">
        <v>11.339</v>
      </c>
      <c r="D285">
        <f t="shared" si="18"/>
        <v>1.119072292129287E-2</v>
      </c>
      <c r="E285">
        <v>-55.6</v>
      </c>
      <c r="F285">
        <f t="shared" si="19"/>
        <v>217.54999999999998</v>
      </c>
      <c r="G285">
        <f t="shared" si="20"/>
        <v>2.1540124273580347E-2</v>
      </c>
      <c r="H285">
        <f t="shared" si="21"/>
        <v>1.405077437807928</v>
      </c>
    </row>
    <row r="286" spans="1:8" x14ac:dyDescent="0.3">
      <c r="A286">
        <v>28500</v>
      </c>
      <c r="B286">
        <v>14.55</v>
      </c>
      <c r="C286">
        <v>11.289</v>
      </c>
      <c r="D286">
        <f t="shared" si="18"/>
        <v>1.1141376757957068E-2</v>
      </c>
      <c r="E286">
        <v>-55.15</v>
      </c>
      <c r="F286">
        <f t="shared" si="19"/>
        <v>217.99999999999997</v>
      </c>
      <c r="G286">
        <f t="shared" si="20"/>
        <v>2.1250999459035871E-2</v>
      </c>
      <c r="H286">
        <f t="shared" si="21"/>
        <v>1.3959940648788869</v>
      </c>
    </row>
    <row r="287" spans="1:8" x14ac:dyDescent="0.3">
      <c r="A287">
        <v>28600</v>
      </c>
      <c r="B287">
        <v>14.3325</v>
      </c>
      <c r="C287">
        <v>10.959</v>
      </c>
      <c r="D287">
        <f t="shared" si="18"/>
        <v>1.0815692079940785E-2</v>
      </c>
      <c r="E287">
        <v>-55.2</v>
      </c>
      <c r="F287">
        <f t="shared" si="19"/>
        <v>217.95</v>
      </c>
      <c r="G287">
        <f t="shared" si="20"/>
        <v>2.0965755455823937E-2</v>
      </c>
      <c r="H287">
        <f t="shared" si="21"/>
        <v>1.3554972661784013</v>
      </c>
    </row>
    <row r="288" spans="1:8" x14ac:dyDescent="0.3">
      <c r="A288">
        <v>28700</v>
      </c>
      <c r="B288">
        <v>14.1</v>
      </c>
      <c r="C288">
        <v>10.523</v>
      </c>
      <c r="D288">
        <f t="shared" si="18"/>
        <v>1.0385393535652602E-2</v>
      </c>
      <c r="E288">
        <v>-55.6</v>
      </c>
      <c r="F288">
        <f t="shared" si="19"/>
        <v>217.54999999999998</v>
      </c>
      <c r="G288">
        <f t="shared" si="20"/>
        <v>2.0684340173304661E-2</v>
      </c>
      <c r="H288">
        <f t="shared" si="21"/>
        <v>1.3039624197947635</v>
      </c>
    </row>
    <row r="289" spans="1:8" x14ac:dyDescent="0.3">
      <c r="A289">
        <v>28800</v>
      </c>
      <c r="B289">
        <v>13.88</v>
      </c>
      <c r="C289">
        <v>10</v>
      </c>
      <c r="D289">
        <f t="shared" si="18"/>
        <v>9.8692326671601278E-3</v>
      </c>
      <c r="E289">
        <v>-53.9</v>
      </c>
      <c r="F289">
        <f t="shared" si="19"/>
        <v>219.24999999999997</v>
      </c>
      <c r="G289">
        <f t="shared" si="20"/>
        <v>2.0406702220030788E-2</v>
      </c>
      <c r="H289">
        <f t="shared" si="21"/>
        <v>1.2295465920341113</v>
      </c>
    </row>
    <row r="290" spans="1:8" x14ac:dyDescent="0.3">
      <c r="A290">
        <v>28900</v>
      </c>
      <c r="B290">
        <v>13.67</v>
      </c>
      <c r="C290">
        <v>9.7554999999999996</v>
      </c>
      <c r="D290">
        <f t="shared" si="18"/>
        <v>9.6279299284480636E-3</v>
      </c>
      <c r="E290">
        <v>-52.9</v>
      </c>
      <c r="F290">
        <f t="shared" si="19"/>
        <v>220.24999999999997</v>
      </c>
      <c r="G290">
        <f t="shared" si="20"/>
        <v>2.0132790894362727E-2</v>
      </c>
      <c r="H290">
        <f t="shared" si="21"/>
        <v>1.1940381657006076</v>
      </c>
    </row>
    <row r="291" spans="1:8" x14ac:dyDescent="0.3">
      <c r="A291">
        <v>29000</v>
      </c>
      <c r="B291">
        <v>13.461428571428501</v>
      </c>
      <c r="C291">
        <v>9.5821428571428502</v>
      </c>
      <c r="D291">
        <f t="shared" si="18"/>
        <v>9.4568397307109309E-3</v>
      </c>
      <c r="E291">
        <v>-52.9</v>
      </c>
      <c r="F291">
        <f t="shared" si="19"/>
        <v>220.24999999999997</v>
      </c>
      <c r="G291">
        <f t="shared" si="20"/>
        <v>1.9862556175209562E-2</v>
      </c>
      <c r="H291">
        <f t="shared" si="21"/>
        <v>1.1728198739812445</v>
      </c>
    </row>
    <row r="292" spans="1:8" x14ac:dyDescent="0.3">
      <c r="A292">
        <v>29100</v>
      </c>
      <c r="B292">
        <v>13.26</v>
      </c>
      <c r="C292">
        <v>9.6210000000000004</v>
      </c>
      <c r="D292">
        <f t="shared" si="18"/>
        <v>9.4951887490747604E-3</v>
      </c>
      <c r="E292">
        <v>-52.9</v>
      </c>
      <c r="F292">
        <f t="shared" si="19"/>
        <v>220.24999999999997</v>
      </c>
      <c r="G292">
        <f t="shared" si="20"/>
        <v>1.9595948712894197E-2</v>
      </c>
      <c r="H292">
        <f t="shared" si="21"/>
        <v>1.1775758487218029</v>
      </c>
    </row>
    <row r="293" spans="1:8" x14ac:dyDescent="0.3">
      <c r="A293">
        <v>29200</v>
      </c>
      <c r="B293">
        <v>13.06</v>
      </c>
      <c r="C293">
        <v>9.3379999999999992</v>
      </c>
      <c r="D293">
        <f t="shared" si="18"/>
        <v>9.2158894645941267E-3</v>
      </c>
      <c r="E293">
        <v>-53.1</v>
      </c>
      <c r="F293">
        <f t="shared" si="19"/>
        <v>220.04999999999998</v>
      </c>
      <c r="G293">
        <f t="shared" si="20"/>
        <v>1.9332919820141348E-2</v>
      </c>
      <c r="H293">
        <f t="shared" si="21"/>
        <v>1.1439764631919498</v>
      </c>
    </row>
    <row r="294" spans="1:8" x14ac:dyDescent="0.3">
      <c r="A294">
        <v>29300</v>
      </c>
      <c r="B294">
        <v>12.8533333333333</v>
      </c>
      <c r="C294">
        <v>9.3550000000000004</v>
      </c>
      <c r="D294">
        <f t="shared" si="18"/>
        <v>9.2326671601283012E-3</v>
      </c>
      <c r="E294">
        <v>-52.7</v>
      </c>
      <c r="F294">
        <f t="shared" si="19"/>
        <v>220.45</v>
      </c>
      <c r="G294">
        <f t="shared" si="20"/>
        <v>1.9073421463186295E-2</v>
      </c>
      <c r="H294">
        <f t="shared" si="21"/>
        <v>1.1439796029889071</v>
      </c>
    </row>
    <row r="295" spans="1:8" x14ac:dyDescent="0.3">
      <c r="A295">
        <v>29400</v>
      </c>
      <c r="B295">
        <v>12.65</v>
      </c>
      <c r="C295">
        <v>9.34</v>
      </c>
      <c r="D295">
        <f t="shared" si="18"/>
        <v>9.2178633111275592E-3</v>
      </c>
      <c r="E295">
        <v>-53</v>
      </c>
      <c r="F295">
        <f t="shared" si="19"/>
        <v>220.14999999999998</v>
      </c>
      <c r="G295">
        <f t="shared" si="20"/>
        <v>1.8817406253003106E-2</v>
      </c>
      <c r="H295">
        <f t="shared" si="21"/>
        <v>1.1437017321982708</v>
      </c>
    </row>
    <row r="296" spans="1:8" x14ac:dyDescent="0.3">
      <c r="A296">
        <v>29500</v>
      </c>
      <c r="B296">
        <v>12.463333333333299</v>
      </c>
      <c r="C296">
        <v>9.298</v>
      </c>
      <c r="D296">
        <f t="shared" si="18"/>
        <v>9.1764125339254873E-3</v>
      </c>
      <c r="E296">
        <v>-52.733333333333299</v>
      </c>
      <c r="F296">
        <f t="shared" si="19"/>
        <v>220.41666666666669</v>
      </c>
      <c r="G296">
        <f t="shared" si="20"/>
        <v>1.8564827436650565E-2</v>
      </c>
      <c r="H296">
        <f t="shared" si="21"/>
        <v>1.1371812855841572</v>
      </c>
    </row>
    <row r="297" spans="1:8" x14ac:dyDescent="0.3">
      <c r="A297">
        <v>29600</v>
      </c>
      <c r="B297">
        <v>12.265000000000001</v>
      </c>
      <c r="C297">
        <v>9.19024999999999</v>
      </c>
      <c r="D297">
        <f t="shared" si="18"/>
        <v>9.0700715519368268E-3</v>
      </c>
      <c r="E297">
        <v>-53.725000000000001</v>
      </c>
      <c r="F297">
        <f t="shared" si="19"/>
        <v>219.42499999999998</v>
      </c>
      <c r="G297">
        <f t="shared" si="20"/>
        <v>1.8315638888734179E-2</v>
      </c>
      <c r="H297">
        <f t="shared" si="21"/>
        <v>1.1290828503641539</v>
      </c>
    </row>
    <row r="298" spans="1:8" x14ac:dyDescent="0.3">
      <c r="A298">
        <v>29700</v>
      </c>
      <c r="B298">
        <v>12.0826315789473</v>
      </c>
      <c r="C298">
        <v>9.0146842105263101</v>
      </c>
      <c r="D298">
        <f t="shared" si="18"/>
        <v>8.8968015894658869E-3</v>
      </c>
      <c r="E298">
        <v>-54.573684210526302</v>
      </c>
      <c r="F298">
        <f t="shared" si="19"/>
        <v>218.57631578947368</v>
      </c>
      <c r="G298">
        <f t="shared" si="20"/>
        <v>1.8069795102982955E-2</v>
      </c>
      <c r="H298">
        <f t="shared" si="21"/>
        <v>1.1118136680935125</v>
      </c>
    </row>
    <row r="299" spans="1:8" x14ac:dyDescent="0.3">
      <c r="A299">
        <v>29800</v>
      </c>
      <c r="B299">
        <v>11.888</v>
      </c>
      <c r="C299">
        <v>8.9421999999999997</v>
      </c>
      <c r="D299">
        <f t="shared" si="18"/>
        <v>8.8252652356279292E-3</v>
      </c>
      <c r="E299">
        <v>-55.61</v>
      </c>
      <c r="F299">
        <f t="shared" si="19"/>
        <v>217.53999999999996</v>
      </c>
      <c r="G299">
        <f t="shared" si="20"/>
        <v>1.782725118393905E-2</v>
      </c>
      <c r="H299">
        <f t="shared" si="21"/>
        <v>1.1081277921815615</v>
      </c>
    </row>
    <row r="300" spans="1:8" x14ac:dyDescent="0.3">
      <c r="A300">
        <v>29900</v>
      </c>
      <c r="B300">
        <v>11.7015384615384</v>
      </c>
      <c r="C300">
        <v>8.6185384615384599</v>
      </c>
      <c r="D300">
        <f t="shared" si="18"/>
        <v>8.5058361327791359E-3</v>
      </c>
      <c r="E300">
        <v>-56.1</v>
      </c>
      <c r="F300">
        <f t="shared" si="19"/>
        <v>217.04999999999998</v>
      </c>
      <c r="G300">
        <f t="shared" si="20"/>
        <v>1.7587962838759165E-2</v>
      </c>
      <c r="H300">
        <f t="shared" si="21"/>
        <v>1.0704303799440777</v>
      </c>
    </row>
    <row r="301" spans="1:8" x14ac:dyDescent="0.3">
      <c r="A301">
        <v>30000</v>
      </c>
      <c r="B301">
        <v>11.515333333333301</v>
      </c>
      <c r="C301">
        <v>8.3770000000000007</v>
      </c>
      <c r="D301">
        <f t="shared" si="18"/>
        <v>8.2674562052800406E-3</v>
      </c>
      <c r="E301">
        <v>-56.2</v>
      </c>
      <c r="F301">
        <f t="shared" si="19"/>
        <v>216.95</v>
      </c>
      <c r="G301">
        <f t="shared" si="20"/>
        <v>1.7351886369125772E-2</v>
      </c>
      <c r="H301">
        <f t="shared" si="21"/>
        <v>1.0409106533635597</v>
      </c>
    </row>
    <row r="302" spans="1:8" x14ac:dyDescent="0.3">
      <c r="A302">
        <v>30100</v>
      </c>
      <c r="B302">
        <v>11.34</v>
      </c>
      <c r="C302">
        <v>8.2289999999999992</v>
      </c>
      <c r="D302">
        <f t="shared" si="18"/>
        <v>8.1213915618060691E-3</v>
      </c>
      <c r="E302">
        <v>-56.4</v>
      </c>
      <c r="F302">
        <f t="shared" si="19"/>
        <v>216.74999999999997</v>
      </c>
      <c r="G302">
        <f t="shared" si="20"/>
        <v>1.7118978663267087E-2</v>
      </c>
      <c r="H302">
        <f t="shared" si="21"/>
        <v>1.0234639469930003</v>
      </c>
    </row>
    <row r="303" spans="1:8" x14ac:dyDescent="0.3">
      <c r="A303">
        <v>30200</v>
      </c>
      <c r="B303">
        <v>11.1633333333333</v>
      </c>
      <c r="C303">
        <v>8.0553333333333299</v>
      </c>
      <c r="D303">
        <f t="shared" si="18"/>
        <v>7.9499958878197184E-3</v>
      </c>
      <c r="E303">
        <v>-56.3</v>
      </c>
      <c r="F303">
        <f t="shared" si="19"/>
        <v>216.84999999999997</v>
      </c>
      <c r="G303">
        <f t="shared" si="20"/>
        <v>1.6889197188084109E-2</v>
      </c>
      <c r="H303">
        <f t="shared" si="21"/>
        <v>1.0014025255973975</v>
      </c>
    </row>
    <row r="304" spans="1:8" x14ac:dyDescent="0.3">
      <c r="A304">
        <v>30300</v>
      </c>
      <c r="B304">
        <v>10.9838461538461</v>
      </c>
      <c r="C304">
        <v>8.9661538461538406</v>
      </c>
      <c r="D304">
        <f t="shared" si="18"/>
        <v>8.8489058437244902E-3</v>
      </c>
      <c r="E304">
        <v>-56.5</v>
      </c>
      <c r="F304">
        <f t="shared" si="19"/>
        <v>216.64999999999998</v>
      </c>
      <c r="G304">
        <f t="shared" si="20"/>
        <v>1.6662499981383243E-2</v>
      </c>
      <c r="H304">
        <f t="shared" si="21"/>
        <v>1.1156605729117677</v>
      </c>
    </row>
    <row r="305" spans="1:8" x14ac:dyDescent="0.3">
      <c r="A305">
        <v>30400</v>
      </c>
      <c r="B305">
        <v>10.81</v>
      </c>
      <c r="C305">
        <v>8.1240000000000006</v>
      </c>
      <c r="D305">
        <f t="shared" si="18"/>
        <v>8.0177646188008891E-3</v>
      </c>
      <c r="E305">
        <v>-57</v>
      </c>
      <c r="F305">
        <f t="shared" si="19"/>
        <v>216.14999999999998</v>
      </c>
      <c r="G305">
        <f t="shared" si="20"/>
        <v>1.643884564421335E-2</v>
      </c>
      <c r="H305">
        <f t="shared" si="21"/>
        <v>1.0132095330212645</v>
      </c>
    </row>
    <row r="306" spans="1:8" x14ac:dyDescent="0.3">
      <c r="A306">
        <v>30500</v>
      </c>
      <c r="B306">
        <v>10.6428571428571</v>
      </c>
      <c r="C306">
        <v>7.67</v>
      </c>
      <c r="D306">
        <f t="shared" si="18"/>
        <v>7.569701455711818E-3</v>
      </c>
      <c r="E306">
        <v>-56.4</v>
      </c>
      <c r="F306">
        <f t="shared" si="19"/>
        <v>216.74999999999997</v>
      </c>
      <c r="G306">
        <f t="shared" si="20"/>
        <v>1.6218193333305469E-2</v>
      </c>
      <c r="H306">
        <f t="shared" si="21"/>
        <v>0.95393953985129565</v>
      </c>
    </row>
    <row r="307" spans="1:8" x14ac:dyDescent="0.3">
      <c r="A307">
        <v>30600</v>
      </c>
      <c r="B307">
        <v>10.4822222222222</v>
      </c>
      <c r="C307">
        <v>7.4531111111111104</v>
      </c>
      <c r="D307">
        <f t="shared" si="18"/>
        <v>7.3556487649751893E-3</v>
      </c>
      <c r="E307">
        <v>-56.677777777777699</v>
      </c>
      <c r="F307">
        <f t="shared" si="19"/>
        <v>216.47222222222229</v>
      </c>
      <c r="G307">
        <f t="shared" si="20"/>
        <v>1.6000502753614154E-2</v>
      </c>
      <c r="H307">
        <f t="shared" si="21"/>
        <v>0.92815394027341203</v>
      </c>
    </row>
    <row r="308" spans="1:8" x14ac:dyDescent="0.3">
      <c r="A308">
        <v>30700</v>
      </c>
      <c r="B308">
        <v>10.315</v>
      </c>
      <c r="C308">
        <v>7.3004999999999898</v>
      </c>
      <c r="D308">
        <f t="shared" si="18"/>
        <v>7.2050333086602419E-3</v>
      </c>
      <c r="E308">
        <v>-56.7</v>
      </c>
      <c r="F308">
        <f t="shared" si="19"/>
        <v>216.45</v>
      </c>
      <c r="G308">
        <f t="shared" si="20"/>
        <v>1.5785734150958915E-2</v>
      </c>
      <c r="H308">
        <f t="shared" si="21"/>
        <v>0.90924224913862084</v>
      </c>
    </row>
    <row r="309" spans="1:8" x14ac:dyDescent="0.3">
      <c r="A309">
        <v>30800</v>
      </c>
      <c r="B309">
        <v>10.14875</v>
      </c>
      <c r="C309">
        <v>7.2389999999999999</v>
      </c>
      <c r="D309">
        <f t="shared" si="18"/>
        <v>7.144337527757217E-3</v>
      </c>
      <c r="E309">
        <v>-56.2</v>
      </c>
      <c r="F309">
        <f t="shared" si="19"/>
        <v>216.95</v>
      </c>
      <c r="G309">
        <f t="shared" si="20"/>
        <v>1.5573848304764302E-2</v>
      </c>
      <c r="H309">
        <f t="shared" si="21"/>
        <v>0.89950486089277881</v>
      </c>
    </row>
    <row r="310" spans="1:8" x14ac:dyDescent="0.3">
      <c r="A310">
        <v>30900</v>
      </c>
      <c r="B310">
        <v>9.9875000000000007</v>
      </c>
      <c r="C310">
        <v>7.1630000000000003</v>
      </c>
      <c r="D310">
        <f t="shared" si="18"/>
        <v>7.0693313594868004E-3</v>
      </c>
      <c r="E310">
        <v>-56.2</v>
      </c>
      <c r="F310">
        <f t="shared" si="19"/>
        <v>216.95</v>
      </c>
      <c r="G310">
        <f t="shared" si="20"/>
        <v>1.5364806520897643E-2</v>
      </c>
      <c r="H310">
        <f t="shared" si="21"/>
        <v>0.89006124030597811</v>
      </c>
    </row>
    <row r="311" spans="1:8" x14ac:dyDescent="0.3">
      <c r="A311">
        <v>31000</v>
      </c>
      <c r="B311">
        <v>9.8409999999999993</v>
      </c>
      <c r="C311">
        <v>7.0298999999999996</v>
      </c>
      <c r="D311">
        <f t="shared" si="18"/>
        <v>6.9379718726868978E-3</v>
      </c>
      <c r="E311">
        <v>-56.2</v>
      </c>
      <c r="F311">
        <f t="shared" si="19"/>
        <v>216.95</v>
      </c>
      <c r="G311">
        <f t="shared" si="20"/>
        <v>1.5158570624602703E-2</v>
      </c>
      <c r="H311">
        <f t="shared" si="21"/>
        <v>0.87352247846251485</v>
      </c>
    </row>
    <row r="312" spans="1:8" x14ac:dyDescent="0.3">
      <c r="A312">
        <v>31100</v>
      </c>
      <c r="B312">
        <v>9.6849999999999898</v>
      </c>
      <c r="C312">
        <v>6.8895</v>
      </c>
      <c r="D312">
        <f t="shared" si="18"/>
        <v>6.7994078460399702E-3</v>
      </c>
      <c r="E312">
        <v>-56.7</v>
      </c>
      <c r="F312">
        <f t="shared" si="19"/>
        <v>216.45</v>
      </c>
      <c r="G312">
        <f t="shared" si="20"/>
        <v>1.4955102953528334E-2</v>
      </c>
      <c r="H312">
        <f t="shared" si="21"/>
        <v>0.85805417100753889</v>
      </c>
    </row>
    <row r="313" spans="1:8" x14ac:dyDescent="0.3">
      <c r="A313">
        <v>31200</v>
      </c>
      <c r="B313">
        <v>9.5309999999999899</v>
      </c>
      <c r="C313">
        <v>6.7037000000000004</v>
      </c>
      <c r="D313">
        <f t="shared" si="18"/>
        <v>6.6160375030841359E-3</v>
      </c>
      <c r="E313">
        <v>-57.2</v>
      </c>
      <c r="F313">
        <f t="shared" si="19"/>
        <v>215.95</v>
      </c>
      <c r="G313">
        <f t="shared" si="20"/>
        <v>1.4754366350850706E-2</v>
      </c>
      <c r="H313">
        <f t="shared" si="21"/>
        <v>0.83684679044567334</v>
      </c>
    </row>
    <row r="314" spans="1:8" x14ac:dyDescent="0.3">
      <c r="A314">
        <v>31300</v>
      </c>
      <c r="B314">
        <v>9.3866666666666596</v>
      </c>
      <c r="C314">
        <v>7.0460000000000003</v>
      </c>
      <c r="D314">
        <f t="shared" si="18"/>
        <v>6.9538613372810264E-3</v>
      </c>
      <c r="E314">
        <v>-57.5</v>
      </c>
      <c r="F314">
        <f t="shared" si="19"/>
        <v>215.64999999999998</v>
      </c>
      <c r="G314">
        <f t="shared" si="20"/>
        <v>1.4556324158487711E-2</v>
      </c>
      <c r="H314">
        <f t="shared" si="21"/>
        <v>0.8808009386869059</v>
      </c>
    </row>
    <row r="315" spans="1:8" x14ac:dyDescent="0.3">
      <c r="A315">
        <v>31400</v>
      </c>
      <c r="B315">
        <v>9.2372727272727193</v>
      </c>
      <c r="C315">
        <v>6.8238181818181802</v>
      </c>
      <c r="D315">
        <f t="shared" si="18"/>
        <v>6.734584931476122E-3</v>
      </c>
      <c r="E315">
        <v>-57.7</v>
      </c>
      <c r="F315">
        <f t="shared" si="19"/>
        <v>215.45</v>
      </c>
      <c r="G315">
        <f t="shared" si="20"/>
        <v>1.4360940210404644E-2</v>
      </c>
      <c r="H315">
        <f t="shared" si="21"/>
        <v>0.85381846091097824</v>
      </c>
    </row>
    <row r="316" spans="1:8" x14ac:dyDescent="0.3">
      <c r="A316">
        <v>31500</v>
      </c>
      <c r="B316">
        <v>9.09</v>
      </c>
      <c r="C316">
        <v>6.4349999999999996</v>
      </c>
      <c r="D316">
        <f t="shared" si="18"/>
        <v>6.3508512213175418E-3</v>
      </c>
      <c r="E316">
        <v>-57.5</v>
      </c>
      <c r="F316">
        <f t="shared" si="19"/>
        <v>215.64999999999998</v>
      </c>
      <c r="G316">
        <f t="shared" si="20"/>
        <v>1.4168178826009559E-2</v>
      </c>
      <c r="H316">
        <f t="shared" si="21"/>
        <v>0.80442152149449864</v>
      </c>
    </row>
    <row r="317" spans="1:8" x14ac:dyDescent="0.3">
      <c r="A317">
        <v>31600</v>
      </c>
      <c r="B317">
        <v>8.9477777777777696</v>
      </c>
      <c r="C317">
        <v>6.2533333333333303</v>
      </c>
      <c r="D317">
        <f t="shared" si="18"/>
        <v>6.1715601611974638E-3</v>
      </c>
      <c r="E317">
        <v>-57.6</v>
      </c>
      <c r="F317">
        <f t="shared" si="19"/>
        <v>215.54999999999998</v>
      </c>
      <c r="G317">
        <f t="shared" si="20"/>
        <v>1.3978004803637388E-2</v>
      </c>
      <c r="H317">
        <f t="shared" si="21"/>
        <v>0.78207453399725679</v>
      </c>
    </row>
    <row r="318" spans="1:8" x14ac:dyDescent="0.3">
      <c r="A318">
        <v>31700</v>
      </c>
      <c r="B318">
        <v>8.8000000000000007</v>
      </c>
      <c r="C318">
        <v>6.1310000000000002</v>
      </c>
      <c r="D318">
        <f t="shared" si="18"/>
        <v>6.0508265482358747E-3</v>
      </c>
      <c r="E318">
        <v>-56.8</v>
      </c>
      <c r="F318">
        <f t="shared" si="19"/>
        <v>216.34999999999997</v>
      </c>
      <c r="G318">
        <f t="shared" si="20"/>
        <v>1.3790383414121529E-2</v>
      </c>
      <c r="H318">
        <f t="shared" si="21"/>
        <v>0.76393957552605929</v>
      </c>
    </row>
    <row r="319" spans="1:8" x14ac:dyDescent="0.3">
      <c r="A319">
        <v>31800</v>
      </c>
      <c r="B319">
        <v>8.6712500000000006</v>
      </c>
      <c r="C319">
        <v>6.0608749999999896</v>
      </c>
      <c r="D319">
        <f t="shared" si="18"/>
        <v>5.9816185541574042E-3</v>
      </c>
      <c r="E319">
        <v>-55.6</v>
      </c>
      <c r="F319">
        <f t="shared" si="19"/>
        <v>217.54999999999998</v>
      </c>
      <c r="G319">
        <f t="shared" si="20"/>
        <v>1.3605280394451595E-2</v>
      </c>
      <c r="H319">
        <f t="shared" si="21"/>
        <v>0.75103613333398989</v>
      </c>
    </row>
    <row r="320" spans="1:8" x14ac:dyDescent="0.3">
      <c r="A320">
        <v>31900</v>
      </c>
      <c r="B320">
        <v>8.5409999999999897</v>
      </c>
      <c r="C320">
        <v>6.0129000000000001</v>
      </c>
      <c r="D320">
        <f t="shared" si="18"/>
        <v>5.934270910436714E-3</v>
      </c>
      <c r="E320">
        <v>-54.01</v>
      </c>
      <c r="F320">
        <f t="shared" si="19"/>
        <v>219.14</v>
      </c>
      <c r="G320">
        <f t="shared" si="20"/>
        <v>1.3422661941516478E-2</v>
      </c>
      <c r="H320">
        <f t="shared" si="21"/>
        <v>0.73968517805320266</v>
      </c>
    </row>
    <row r="321" spans="1:8" x14ac:dyDescent="0.3">
      <c r="A321">
        <v>32000</v>
      </c>
      <c r="B321">
        <v>8.4071428571428495</v>
      </c>
      <c r="C321">
        <v>5.944</v>
      </c>
      <c r="D321">
        <f t="shared" si="18"/>
        <v>5.8662718973599799E-3</v>
      </c>
      <c r="E321">
        <v>-53</v>
      </c>
      <c r="F321">
        <f t="shared" si="19"/>
        <v>220.14999999999998</v>
      </c>
      <c r="G321">
        <f t="shared" si="20"/>
        <v>1.3242494705931208E-2</v>
      </c>
      <c r="H321">
        <f t="shared" si="21"/>
        <v>0.72785472121911354</v>
      </c>
    </row>
    <row r="322" spans="1:8" x14ac:dyDescent="0.3">
      <c r="A322">
        <v>32100</v>
      </c>
      <c r="B322">
        <v>8.27</v>
      </c>
      <c r="C322">
        <v>5.8076363636363597</v>
      </c>
      <c r="D322">
        <f t="shared" si="18"/>
        <v>5.7316914518987022E-3</v>
      </c>
      <c r="E322">
        <v>-53.1</v>
      </c>
      <c r="F322">
        <f t="shared" si="19"/>
        <v>220.04999999999998</v>
      </c>
      <c r="G322">
        <f t="shared" si="20"/>
        <v>1.3064745785946803E-2</v>
      </c>
      <c r="H322">
        <f t="shared" si="21"/>
        <v>0.71147990006186346</v>
      </c>
    </row>
    <row r="323" spans="1:8" x14ac:dyDescent="0.3">
      <c r="A323">
        <v>32200</v>
      </c>
      <c r="B323">
        <v>8.1514285714285695</v>
      </c>
      <c r="C323">
        <v>5.8041428571428497</v>
      </c>
      <c r="D323">
        <f t="shared" ref="D323:D359" si="22">C323/1013.25</f>
        <v>5.7282436290578337E-3</v>
      </c>
      <c r="E323">
        <v>-53.157142857142802</v>
      </c>
      <c r="F323">
        <f t="shared" ref="F323:F359" si="23">E323+273.15</f>
        <v>219.99285714285719</v>
      </c>
      <c r="G323">
        <f t="shared" ref="G323:G359" si="24">EXP((-A323*0.001)/7.4)</f>
        <v>1.2889382721441838E-2</v>
      </c>
      <c r="H323">
        <f t="shared" ref="H323:H359" si="25">(D323*273.15*100)/F323</f>
        <v>0.71123661358745605</v>
      </c>
    </row>
    <row r="324" spans="1:8" x14ac:dyDescent="0.3">
      <c r="A324">
        <v>32300</v>
      </c>
      <c r="B324">
        <v>8.0220000000000002</v>
      </c>
      <c r="C324">
        <v>5.7484000000000002</v>
      </c>
      <c r="D324">
        <f t="shared" si="22"/>
        <v>5.6732297063903283E-3</v>
      </c>
      <c r="E324">
        <v>-52.1</v>
      </c>
      <c r="F324">
        <f t="shared" si="23"/>
        <v>221.04999999999998</v>
      </c>
      <c r="G324">
        <f t="shared" si="24"/>
        <v>1.2716373487994646E-2</v>
      </c>
      <c r="H324">
        <f t="shared" si="25"/>
        <v>0.70103718357861033</v>
      </c>
    </row>
    <row r="325" spans="1:8" x14ac:dyDescent="0.3">
      <c r="A325">
        <v>32400</v>
      </c>
      <c r="B325">
        <v>7.9</v>
      </c>
      <c r="C325">
        <v>5.694</v>
      </c>
      <c r="D325">
        <f t="shared" si="22"/>
        <v>5.6195410806809771E-3</v>
      </c>
      <c r="E325">
        <v>-51.7</v>
      </c>
      <c r="F325">
        <f t="shared" si="23"/>
        <v>221.45</v>
      </c>
      <c r="G325">
        <f t="shared" si="24"/>
        <v>1.2545686491035001E-2</v>
      </c>
      <c r="H325">
        <f t="shared" si="25"/>
        <v>0.69314863228178314</v>
      </c>
    </row>
    <row r="326" spans="1:8" x14ac:dyDescent="0.3">
      <c r="A326">
        <v>32500</v>
      </c>
      <c r="B326">
        <v>7.7759999999999998</v>
      </c>
      <c r="C326">
        <v>5.6075999999999997</v>
      </c>
      <c r="D326">
        <f t="shared" si="22"/>
        <v>5.534270910436713E-3</v>
      </c>
      <c r="E326">
        <v>-51.6</v>
      </c>
      <c r="F326">
        <f t="shared" si="23"/>
        <v>221.54999999999998</v>
      </c>
      <c r="G326">
        <f t="shared" si="24"/>
        <v>1.2377290560074529E-2</v>
      </c>
      <c r="H326">
        <f t="shared" si="25"/>
        <v>0.68232277101592798</v>
      </c>
    </row>
    <row r="327" spans="1:8" x14ac:dyDescent="0.3">
      <c r="A327">
        <v>32600</v>
      </c>
      <c r="B327">
        <v>7.6584615384615304</v>
      </c>
      <c r="C327">
        <v>5.4656923076922999</v>
      </c>
      <c r="D327">
        <f t="shared" si="22"/>
        <v>5.3942189071722671E-3</v>
      </c>
      <c r="E327">
        <v>-52</v>
      </c>
      <c r="F327">
        <f t="shared" si="23"/>
        <v>221.14999999999998</v>
      </c>
      <c r="G327">
        <f t="shared" si="24"/>
        <v>1.221115494301433E-2</v>
      </c>
      <c r="H327">
        <f t="shared" si="25"/>
        <v>0.66625860026864336</v>
      </c>
    </row>
    <row r="328" spans="1:8" x14ac:dyDescent="0.3">
      <c r="A328">
        <v>32700</v>
      </c>
      <c r="B328">
        <v>7.5390909090909002</v>
      </c>
      <c r="C328">
        <v>5.3944545454545398</v>
      </c>
      <c r="D328">
        <f t="shared" si="22"/>
        <v>5.3239127021510388E-3</v>
      </c>
      <c r="E328">
        <v>-52.1</v>
      </c>
      <c r="F328">
        <f t="shared" si="23"/>
        <v>221.04999999999998</v>
      </c>
      <c r="G328">
        <f t="shared" si="24"/>
        <v>1.2047249300529091E-2</v>
      </c>
      <c r="H328">
        <f t="shared" si="25"/>
        <v>0.6578723160337282</v>
      </c>
    </row>
    <row r="329" spans="1:8" x14ac:dyDescent="0.3">
      <c r="A329">
        <v>32800</v>
      </c>
      <c r="B329">
        <v>7.4214285714285699</v>
      </c>
      <c r="C329">
        <v>5.3281428571428497</v>
      </c>
      <c r="D329">
        <f t="shared" si="22"/>
        <v>5.2584681541010111E-3</v>
      </c>
      <c r="E329">
        <v>-51.2</v>
      </c>
      <c r="F329">
        <f t="shared" si="23"/>
        <v>221.95</v>
      </c>
      <c r="G329">
        <f t="shared" si="24"/>
        <v>1.1885543700526656E-2</v>
      </c>
      <c r="H329">
        <f t="shared" si="25"/>
        <v>0.64715051871713958</v>
      </c>
    </row>
    <row r="330" spans="1:8" x14ac:dyDescent="0.3">
      <c r="A330">
        <v>32900</v>
      </c>
      <c r="B330">
        <v>7.3091666666666599</v>
      </c>
      <c r="C330">
        <v>5.2308333333333303</v>
      </c>
      <c r="D330">
        <f t="shared" si="22"/>
        <v>5.1624311209803406E-3</v>
      </c>
      <c r="E330">
        <v>-51.4</v>
      </c>
      <c r="F330">
        <f t="shared" si="23"/>
        <v>221.74999999999997</v>
      </c>
      <c r="G330">
        <f t="shared" si="24"/>
        <v>1.1726008612681778E-2</v>
      </c>
      <c r="H330">
        <f t="shared" si="25"/>
        <v>0.63590442421455706</v>
      </c>
    </row>
    <row r="331" spans="1:8" x14ac:dyDescent="0.3">
      <c r="A331">
        <v>33000</v>
      </c>
      <c r="B331">
        <v>7.2</v>
      </c>
      <c r="C331">
        <v>5.1689999999999996</v>
      </c>
      <c r="D331">
        <f t="shared" si="22"/>
        <v>5.1014063656550698E-3</v>
      </c>
      <c r="E331">
        <v>-50.7</v>
      </c>
      <c r="F331">
        <f t="shared" si="23"/>
        <v>222.45</v>
      </c>
      <c r="G331">
        <f t="shared" si="24"/>
        <v>1.156861490304348E-2</v>
      </c>
      <c r="H331">
        <f t="shared" si="25"/>
        <v>0.62641004665258815</v>
      </c>
    </row>
    <row r="332" spans="1:8" x14ac:dyDescent="0.3">
      <c r="A332">
        <v>33100</v>
      </c>
      <c r="B332">
        <v>7.0960000000000001</v>
      </c>
      <c r="C332">
        <v>5.0335999999999999</v>
      </c>
      <c r="D332">
        <f t="shared" si="22"/>
        <v>4.9677769553417217E-3</v>
      </c>
      <c r="E332">
        <v>-50.06</v>
      </c>
      <c r="F332">
        <f t="shared" si="23"/>
        <v>223.08999999999997</v>
      </c>
      <c r="G332">
        <f t="shared" si="24"/>
        <v>1.1413333828714612E-2</v>
      </c>
      <c r="H332">
        <f t="shared" si="25"/>
        <v>0.60825150179371157</v>
      </c>
    </row>
    <row r="333" spans="1:8" x14ac:dyDescent="0.3">
      <c r="A333">
        <v>33200</v>
      </c>
      <c r="B333">
        <v>6.9911111111111097</v>
      </c>
      <c r="C333">
        <v>5.0217777777777703</v>
      </c>
      <c r="D333">
        <f t="shared" si="22"/>
        <v>4.9561093291663168E-3</v>
      </c>
      <c r="E333">
        <v>-49.422222222222203</v>
      </c>
      <c r="F333">
        <f t="shared" si="23"/>
        <v>223.72777777777776</v>
      </c>
      <c r="G333">
        <f t="shared" si="24"/>
        <v>1.126013703260286E-2</v>
      </c>
      <c r="H333">
        <f t="shared" si="25"/>
        <v>0.60509306296620469</v>
      </c>
    </row>
    <row r="334" spans="1:8" x14ac:dyDescent="0.3">
      <c r="A334">
        <v>33300</v>
      </c>
      <c r="B334">
        <v>6.8766666666666598</v>
      </c>
      <c r="C334">
        <v>4.8806666666666603</v>
      </c>
      <c r="D334">
        <f t="shared" si="22"/>
        <v>4.816843490418614E-3</v>
      </c>
      <c r="E334">
        <v>-48.5</v>
      </c>
      <c r="F334">
        <f t="shared" si="23"/>
        <v>224.64999999999998</v>
      </c>
      <c r="G334">
        <f t="shared" si="24"/>
        <v>1.1108996538242316E-2</v>
      </c>
      <c r="H334">
        <f t="shared" si="25"/>
        <v>0.58567585106069198</v>
      </c>
    </row>
    <row r="335" spans="1:8" x14ac:dyDescent="0.3">
      <c r="A335">
        <v>33400</v>
      </c>
      <c r="B335">
        <v>6.77</v>
      </c>
      <c r="C335">
        <v>4.8440000000000003</v>
      </c>
      <c r="D335">
        <f t="shared" si="22"/>
        <v>4.7806563039723667E-3</v>
      </c>
      <c r="E335">
        <v>-47.3</v>
      </c>
      <c r="F335">
        <f t="shared" si="23"/>
        <v>225.84999999999997</v>
      </c>
      <c r="G335">
        <f t="shared" si="24"/>
        <v>1.0959884744684364E-2</v>
      </c>
      <c r="H335">
        <f t="shared" si="25"/>
        <v>0.57818741174675758</v>
      </c>
    </row>
    <row r="336" spans="1:8" x14ac:dyDescent="0.3">
      <c r="A336">
        <v>33500</v>
      </c>
      <c r="B336">
        <v>6.6660000000000004</v>
      </c>
      <c r="C336">
        <v>4.8945999999999996</v>
      </c>
      <c r="D336">
        <f t="shared" si="22"/>
        <v>4.8305946212681963E-3</v>
      </c>
      <c r="E336">
        <v>-46.46</v>
      </c>
      <c r="F336">
        <f t="shared" si="23"/>
        <v>226.68999999999997</v>
      </c>
      <c r="G336">
        <f t="shared" si="24"/>
        <v>1.0812774421457377E-2</v>
      </c>
      <c r="H336">
        <f t="shared" si="25"/>
        <v>0.58206225276783619</v>
      </c>
    </row>
    <row r="337" spans="1:8" x14ac:dyDescent="0.3">
      <c r="A337">
        <v>33600</v>
      </c>
      <c r="B337">
        <v>6.5739999999999998</v>
      </c>
      <c r="C337">
        <v>4.8941999999999997</v>
      </c>
      <c r="D337">
        <f t="shared" si="22"/>
        <v>4.8301998519615095E-3</v>
      </c>
      <c r="E337">
        <v>-45.3</v>
      </c>
      <c r="F337">
        <f t="shared" si="23"/>
        <v>227.84999999999997</v>
      </c>
      <c r="G337">
        <f t="shared" si="24"/>
        <v>1.0667638703593876E-2</v>
      </c>
      <c r="H337">
        <f t="shared" si="25"/>
        <v>0.5790516083227063</v>
      </c>
    </row>
    <row r="338" spans="1:8" x14ac:dyDescent="0.3">
      <c r="A338">
        <v>33700</v>
      </c>
      <c r="B338">
        <v>6.48</v>
      </c>
      <c r="C338">
        <v>4.7973076923076903</v>
      </c>
      <c r="D338">
        <f t="shared" si="22"/>
        <v>4.7345745791341626E-3</v>
      </c>
      <c r="E338">
        <v>-44.4</v>
      </c>
      <c r="F338">
        <f t="shared" si="23"/>
        <v>228.74999999999997</v>
      </c>
      <c r="G338">
        <f t="shared" si="24"/>
        <v>1.0524451086724496E-2</v>
      </c>
      <c r="H338">
        <f t="shared" si="25"/>
        <v>0.56535477433464332</v>
      </c>
    </row>
    <row r="339" spans="1:8" x14ac:dyDescent="0.3">
      <c r="A339">
        <v>33800</v>
      </c>
      <c r="B339">
        <v>6.38</v>
      </c>
      <c r="C339">
        <v>4.6890000000000001</v>
      </c>
      <c r="D339">
        <f t="shared" si="22"/>
        <v>4.627683197631384E-3</v>
      </c>
      <c r="E339">
        <v>-43.6</v>
      </c>
      <c r="F339">
        <f t="shared" si="23"/>
        <v>229.54999999999998</v>
      </c>
      <c r="G339">
        <f t="shared" si="24"/>
        <v>1.038318542223789E-2</v>
      </c>
      <c r="H339">
        <f t="shared" si="25"/>
        <v>0.55066506880113808</v>
      </c>
    </row>
    <row r="340" spans="1:8" x14ac:dyDescent="0.3">
      <c r="A340">
        <v>33900</v>
      </c>
      <c r="B340">
        <v>6.2839999999999998</v>
      </c>
      <c r="C340">
        <v>4.6265999999999998</v>
      </c>
      <c r="D340">
        <f t="shared" si="22"/>
        <v>4.5660991857883046E-3</v>
      </c>
      <c r="E340">
        <v>-42.64</v>
      </c>
      <c r="F340">
        <f t="shared" si="23"/>
        <v>230.51</v>
      </c>
      <c r="G340">
        <f t="shared" si="24"/>
        <v>1.0243815912505408E-2</v>
      </c>
      <c r="H340">
        <f t="shared" si="25"/>
        <v>0.54107413673943661</v>
      </c>
    </row>
    <row r="341" spans="1:8" x14ac:dyDescent="0.3">
      <c r="A341">
        <v>34000</v>
      </c>
      <c r="B341">
        <v>6.1866666666666603</v>
      </c>
      <c r="C341">
        <v>4.54233333333333</v>
      </c>
      <c r="D341">
        <f t="shared" si="22"/>
        <v>4.4829344518463659E-3</v>
      </c>
      <c r="E341">
        <v>-42.866666666666603</v>
      </c>
      <c r="F341">
        <f t="shared" si="23"/>
        <v>230.28333333333336</v>
      </c>
      <c r="G341">
        <f t="shared" si="24"/>
        <v>1.010631710617012E-2</v>
      </c>
      <c r="H341">
        <f t="shared" si="25"/>
        <v>0.53174214902880568</v>
      </c>
    </row>
    <row r="342" spans="1:8" x14ac:dyDescent="0.3">
      <c r="A342">
        <v>34100</v>
      </c>
      <c r="B342">
        <v>6.1025</v>
      </c>
      <c r="C342">
        <v>4.4962499999999999</v>
      </c>
      <c r="D342">
        <f t="shared" si="22"/>
        <v>4.4374537379718729E-3</v>
      </c>
      <c r="E342">
        <v>-42.8</v>
      </c>
      <c r="F342">
        <f t="shared" si="23"/>
        <v>230.34999999999997</v>
      </c>
      <c r="G342">
        <f t="shared" si="24"/>
        <v>9.9706638934988732E-3</v>
      </c>
      <c r="H342">
        <f t="shared" si="25"/>
        <v>0.52619513285305719</v>
      </c>
    </row>
    <row r="343" spans="1:8" x14ac:dyDescent="0.3">
      <c r="A343">
        <v>34200</v>
      </c>
      <c r="B343">
        <v>6.01</v>
      </c>
      <c r="C343">
        <v>4.3630000000000004</v>
      </c>
      <c r="D343">
        <f t="shared" si="22"/>
        <v>4.3059462126819647E-3</v>
      </c>
      <c r="E343">
        <v>-42.6</v>
      </c>
      <c r="F343">
        <f t="shared" si="23"/>
        <v>230.54999999999998</v>
      </c>
      <c r="G343">
        <f t="shared" si="24"/>
        <v>9.8368315017967906E-3</v>
      </c>
      <c r="H343">
        <f t="shared" si="25"/>
        <v>0.51015797353896275</v>
      </c>
    </row>
    <row r="344" spans="1:8" x14ac:dyDescent="0.3">
      <c r="A344">
        <v>34300</v>
      </c>
      <c r="B344">
        <v>5.92</v>
      </c>
      <c r="C344">
        <v>4.2160000000000002</v>
      </c>
      <c r="D344">
        <f t="shared" si="22"/>
        <v>4.1608684924747102E-3</v>
      </c>
      <c r="E344">
        <v>-41.6</v>
      </c>
      <c r="F344">
        <f t="shared" si="23"/>
        <v>231.54999999999998</v>
      </c>
      <c r="G344">
        <f t="shared" si="24"/>
        <v>9.7047954908834003E-3</v>
      </c>
      <c r="H344">
        <f t="shared" si="25"/>
        <v>0.49084052201229411</v>
      </c>
    </row>
    <row r="345" spans="1:8" x14ac:dyDescent="0.3">
      <c r="A345">
        <v>34400</v>
      </c>
      <c r="B345">
        <v>5.83</v>
      </c>
      <c r="C345">
        <v>4.1420000000000003</v>
      </c>
      <c r="D345">
        <f t="shared" si="22"/>
        <v>4.0878361707377252E-3</v>
      </c>
      <c r="E345">
        <v>-41.5</v>
      </c>
      <c r="F345">
        <f t="shared" si="23"/>
        <v>231.64999999999998</v>
      </c>
      <c r="G345">
        <f t="shared" si="24"/>
        <v>9.5745317486293571E-3</v>
      </c>
      <c r="H345">
        <f t="shared" si="25"/>
        <v>0.48201703001813495</v>
      </c>
    </row>
    <row r="346" spans="1:8" x14ac:dyDescent="0.3">
      <c r="A346">
        <v>34500</v>
      </c>
      <c r="B346">
        <v>5.76</v>
      </c>
      <c r="C346">
        <v>4.0949999999999998</v>
      </c>
      <c r="D346">
        <f t="shared" si="22"/>
        <v>4.041450777202072E-3</v>
      </c>
      <c r="E346">
        <v>-41.1</v>
      </c>
      <c r="F346">
        <f t="shared" si="23"/>
        <v>232.04999999999998</v>
      </c>
      <c r="G346">
        <f t="shared" si="24"/>
        <v>9.4460164865531708E-3</v>
      </c>
      <c r="H346">
        <f t="shared" si="25"/>
        <v>0.47572604171202154</v>
      </c>
    </row>
    <row r="347" spans="1:8" x14ac:dyDescent="0.3">
      <c r="A347">
        <v>34600</v>
      </c>
      <c r="B347">
        <v>5.6694117647058802</v>
      </c>
      <c r="C347">
        <v>4.0280588235294097</v>
      </c>
      <c r="D347">
        <f t="shared" si="22"/>
        <v>3.9753849726419047E-3</v>
      </c>
      <c r="E347">
        <v>-40.799999999999997</v>
      </c>
      <c r="F347">
        <f t="shared" si="23"/>
        <v>232.34999999999997</v>
      </c>
      <c r="G347">
        <f t="shared" si="24"/>
        <v>9.3192262354770197E-3</v>
      </c>
      <c r="H347">
        <f t="shared" si="25"/>
        <v>0.4673451281588708</v>
      </c>
    </row>
    <row r="348" spans="1:8" x14ac:dyDescent="0.3">
      <c r="A348">
        <v>34700</v>
      </c>
      <c r="B348">
        <v>5.5880000000000001</v>
      </c>
      <c r="C348">
        <v>3.9708000000000001</v>
      </c>
      <c r="D348">
        <f t="shared" si="22"/>
        <v>3.9188749074759435E-3</v>
      </c>
      <c r="E348">
        <v>-40.5</v>
      </c>
      <c r="F348">
        <f t="shared" si="23"/>
        <v>232.64999999999998</v>
      </c>
      <c r="G348">
        <f t="shared" si="24"/>
        <v>9.1941378412408147E-3</v>
      </c>
      <c r="H348">
        <f t="shared" si="25"/>
        <v>0.46010775025878103</v>
      </c>
    </row>
    <row r="349" spans="1:8" x14ac:dyDescent="0.3">
      <c r="A349">
        <v>34800</v>
      </c>
      <c r="B349">
        <v>5.5</v>
      </c>
      <c r="C349">
        <v>3.8894545454545399</v>
      </c>
      <c r="D349">
        <f t="shared" si="22"/>
        <v>3.8385931857434392E-3</v>
      </c>
      <c r="E349">
        <v>-39.845454545454501</v>
      </c>
      <c r="F349">
        <f t="shared" si="23"/>
        <v>233.30454545454546</v>
      </c>
      <c r="G349">
        <f t="shared" si="24"/>
        <v>9.0707284604738935E-3</v>
      </c>
      <c r="H349">
        <f t="shared" si="25"/>
        <v>0.44941761706485955</v>
      </c>
    </row>
    <row r="350" spans="1:8" x14ac:dyDescent="0.3">
      <c r="A350">
        <v>34900</v>
      </c>
      <c r="B350">
        <v>5.43</v>
      </c>
      <c r="C350">
        <v>3.8450000000000002</v>
      </c>
      <c r="D350">
        <f t="shared" si="22"/>
        <v>3.7947199605230697E-3</v>
      </c>
      <c r="E350">
        <v>-39.4</v>
      </c>
      <c r="F350">
        <f t="shared" si="23"/>
        <v>233.74999999999997</v>
      </c>
      <c r="G350">
        <f t="shared" si="24"/>
        <v>8.9489755564233584E-3</v>
      </c>
      <c r="H350">
        <f t="shared" si="25"/>
        <v>0.44343433463823595</v>
      </c>
    </row>
    <row r="351" spans="1:8" x14ac:dyDescent="0.3">
      <c r="A351">
        <v>35000</v>
      </c>
      <c r="B351">
        <v>5.3455555555555501</v>
      </c>
      <c r="C351">
        <v>3.73755555555555</v>
      </c>
      <c r="D351">
        <f t="shared" si="22"/>
        <v>3.6886805384214656E-3</v>
      </c>
      <c r="E351">
        <v>-39.044444444444402</v>
      </c>
      <c r="F351">
        <f t="shared" si="23"/>
        <v>234.10555555555558</v>
      </c>
      <c r="G351">
        <f t="shared" si="24"/>
        <v>8.8288568948384945E-3</v>
      </c>
      <c r="H351">
        <f t="shared" si="25"/>
        <v>0.43038837189436902</v>
      </c>
    </row>
    <row r="352" spans="1:8" x14ac:dyDescent="0.3">
      <c r="A352">
        <v>35100</v>
      </c>
      <c r="B352">
        <v>5.2722222222222204</v>
      </c>
      <c r="C352">
        <v>3.6168888888888802</v>
      </c>
      <c r="D352">
        <f t="shared" si="22"/>
        <v>3.5695917975710634E-3</v>
      </c>
      <c r="E352">
        <v>-39.299999999999997</v>
      </c>
      <c r="F352">
        <f t="shared" si="23"/>
        <v>233.84999999999997</v>
      </c>
      <c r="G352">
        <f t="shared" si="24"/>
        <v>8.7103505399104136E-3</v>
      </c>
      <c r="H352">
        <f t="shared" si="25"/>
        <v>0.416948471031232</v>
      </c>
    </row>
    <row r="353" spans="1:8" x14ac:dyDescent="0.3">
      <c r="A353">
        <v>35200</v>
      </c>
      <c r="B353">
        <v>5.19</v>
      </c>
      <c r="C353">
        <v>3.52869999999999</v>
      </c>
      <c r="D353">
        <f t="shared" si="22"/>
        <v>3.4825561312607847E-3</v>
      </c>
      <c r="E353">
        <v>-39.299999999999997</v>
      </c>
      <c r="F353">
        <f t="shared" si="23"/>
        <v>233.84999999999997</v>
      </c>
      <c r="G353">
        <f t="shared" si="24"/>
        <v>8.593434850266134E-3</v>
      </c>
      <c r="H353">
        <f t="shared" si="25"/>
        <v>0.40678221392083963</v>
      </c>
    </row>
    <row r="354" spans="1:8" x14ac:dyDescent="0.3">
      <c r="A354">
        <v>35300</v>
      </c>
      <c r="B354">
        <v>5.12</v>
      </c>
      <c r="C354">
        <v>3.4550000000000001</v>
      </c>
      <c r="D354">
        <f t="shared" si="22"/>
        <v>3.4098198865038245E-3</v>
      </c>
      <c r="E354">
        <v>-38.849999999999902</v>
      </c>
      <c r="F354">
        <f t="shared" si="23"/>
        <v>234.30000000000007</v>
      </c>
      <c r="G354">
        <f t="shared" si="24"/>
        <v>8.4780884750165434E-3</v>
      </c>
      <c r="H354">
        <f t="shared" si="25"/>
        <v>0.39752125565451096</v>
      </c>
    </row>
    <row r="355" spans="1:8" x14ac:dyDescent="0.3">
      <c r="A355">
        <v>35400</v>
      </c>
      <c r="B355">
        <v>5.04</v>
      </c>
      <c r="C355">
        <v>3.407</v>
      </c>
      <c r="D355">
        <f t="shared" si="22"/>
        <v>3.3624475697014559E-3</v>
      </c>
      <c r="E355">
        <v>-37.799999999999997</v>
      </c>
      <c r="F355">
        <f t="shared" si="23"/>
        <v>235.34999999999997</v>
      </c>
      <c r="G355">
        <f t="shared" si="24"/>
        <v>8.3642903498572889E-3</v>
      </c>
      <c r="H355">
        <f t="shared" si="25"/>
        <v>0.39024965101506387</v>
      </c>
    </row>
    <row r="356" spans="1:8" x14ac:dyDescent="0.3">
      <c r="A356">
        <v>35500</v>
      </c>
      <c r="B356">
        <v>4.97</v>
      </c>
      <c r="C356">
        <v>3.36899999999999</v>
      </c>
      <c r="D356">
        <f t="shared" si="22"/>
        <v>3.3249444855662372E-3</v>
      </c>
      <c r="E356">
        <v>-37.4</v>
      </c>
      <c r="F356">
        <f t="shared" si="23"/>
        <v>235.74999999999997</v>
      </c>
      <c r="G356">
        <f t="shared" si="24"/>
        <v>8.2520196932220832E-3</v>
      </c>
      <c r="H356">
        <f t="shared" si="25"/>
        <v>0.38524224230431292</v>
      </c>
    </row>
    <row r="357" spans="1:8" x14ac:dyDescent="0.3">
      <c r="A357">
        <v>35600</v>
      </c>
      <c r="B357">
        <v>4.8922222222222196</v>
      </c>
      <c r="C357">
        <v>3.32433333333333</v>
      </c>
      <c r="D357">
        <f t="shared" si="22"/>
        <v>3.280861912986262E-3</v>
      </c>
      <c r="E357">
        <v>-36.233333333333299</v>
      </c>
      <c r="F357">
        <f t="shared" si="23"/>
        <v>236.91666666666669</v>
      </c>
      <c r="G357">
        <f t="shared" si="24"/>
        <v>8.1412560024876467E-3</v>
      </c>
      <c r="H357">
        <f t="shared" si="25"/>
        <v>0.3782627217160171</v>
      </c>
    </row>
    <row r="358" spans="1:8" x14ac:dyDescent="0.3">
      <c r="A358">
        <v>35700</v>
      </c>
      <c r="B358">
        <v>4.8499999999999996</v>
      </c>
      <c r="C358">
        <v>3.3140000000000001</v>
      </c>
      <c r="D358">
        <f t="shared" si="22"/>
        <v>3.2706637058968666E-3</v>
      </c>
      <c r="E358">
        <v>-35.9</v>
      </c>
      <c r="F358">
        <f t="shared" si="23"/>
        <v>237.24999999999997</v>
      </c>
      <c r="G358">
        <f t="shared" si="24"/>
        <v>8.0319790502295044E-3</v>
      </c>
      <c r="H358">
        <f t="shared" si="25"/>
        <v>0.37655713014361603</v>
      </c>
    </row>
    <row r="359" spans="1:8" x14ac:dyDescent="0.3">
      <c r="A359">
        <v>35800</v>
      </c>
      <c r="B359">
        <v>4.8499999999999996</v>
      </c>
      <c r="C359">
        <v>3.3140000000000001</v>
      </c>
      <c r="D359">
        <f t="shared" si="22"/>
        <v>3.2706637058968666E-3</v>
      </c>
      <c r="E359">
        <v>-35.9</v>
      </c>
      <c r="F359">
        <f t="shared" si="23"/>
        <v>237.24999999999997</v>
      </c>
      <c r="G359">
        <f t="shared" si="24"/>
        <v>7.9241688805281544E-3</v>
      </c>
      <c r="H359">
        <f t="shared" si="25"/>
        <v>0.37655713014361603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CWB_25N_100m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chiao steve</cp:lastModifiedBy>
  <dcterms:created xsi:type="dcterms:W3CDTF">2023-10-14T13:09:14Z</dcterms:created>
  <dcterms:modified xsi:type="dcterms:W3CDTF">2023-10-17T16:13:24Z</dcterms:modified>
</cp:coreProperties>
</file>